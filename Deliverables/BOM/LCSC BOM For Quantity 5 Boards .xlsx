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Github\BriacBarthes-PhoneCharger\Deliverables\BOM\"/>
    </mc:Choice>
  </mc:AlternateContent>
  <bookViews>
    <workbookView xWindow="-105" yWindow="-105" windowWidth="23250" windowHeight="14010"/>
  </bookViews>
  <sheets>
    <sheet name="Briac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53" i="1" l="1"/>
  <c r="R44" i="1"/>
  <c r="R45" i="1"/>
  <c r="R46" i="1"/>
  <c r="R47" i="1"/>
  <c r="R48" i="1"/>
  <c r="R49" i="1"/>
  <c r="R50" i="1"/>
  <c r="R51" i="1"/>
  <c r="R52" i="1"/>
  <c r="R35" i="1"/>
  <c r="R36" i="1"/>
  <c r="R37" i="1"/>
  <c r="R38" i="1"/>
  <c r="R39" i="1"/>
  <c r="R40" i="1"/>
  <c r="R41" i="1"/>
  <c r="R42" i="1"/>
  <c r="R43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17" i="1"/>
  <c r="R18" i="1"/>
  <c r="R19" i="1"/>
  <c r="R20" i="1"/>
  <c r="R14" i="1"/>
  <c r="R15" i="1"/>
  <c r="R16" i="1"/>
  <c r="R11" i="1"/>
  <c r="R12" i="1"/>
  <c r="R13" i="1"/>
  <c r="R4" i="1"/>
  <c r="R5" i="1"/>
  <c r="R6" i="1"/>
  <c r="R7" i="1"/>
  <c r="R8" i="1"/>
  <c r="R9" i="1"/>
  <c r="R10" i="1"/>
  <c r="R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3" i="1"/>
  <c r="R53" i="1"/>
  <c r="R54" i="1"/>
</calcChain>
</file>

<file path=xl/sharedStrings.xml><?xml version="1.0" encoding="utf-8"?>
<sst xmlns="http://schemas.openxmlformats.org/spreadsheetml/2006/main" count="442" uniqueCount="278">
  <si>
    <t>Description</t>
  </si>
  <si>
    <t>Designator</t>
  </si>
  <si>
    <t>Manufacturer</t>
  </si>
  <si>
    <t>Manufacturer Part Number</t>
  </si>
  <si>
    <t>0.1uF</t>
  </si>
  <si>
    <t>J1</t>
  </si>
  <si>
    <t>100K</t>
  </si>
  <si>
    <t>U6</t>
  </si>
  <si>
    <t>S. No.</t>
  </si>
  <si>
    <t>Components</t>
  </si>
  <si>
    <t>Footprint (Package)</t>
  </si>
  <si>
    <t>Alternate</t>
  </si>
  <si>
    <t>Value</t>
  </si>
  <si>
    <t>Remarks</t>
  </si>
  <si>
    <t>Capacitor</t>
  </si>
  <si>
    <t>Diode</t>
  </si>
  <si>
    <t>Resistor</t>
  </si>
  <si>
    <t xml:space="preserve">Total Component Cost </t>
  </si>
  <si>
    <t>Single Board Cost</t>
  </si>
  <si>
    <t>1uF</t>
  </si>
  <si>
    <t>22uF</t>
  </si>
  <si>
    <t>10uF</t>
  </si>
  <si>
    <t>SMA</t>
  </si>
  <si>
    <t>R4</t>
  </si>
  <si>
    <t>R8</t>
  </si>
  <si>
    <t>10K</t>
  </si>
  <si>
    <t>Mosfet</t>
  </si>
  <si>
    <t>L1</t>
  </si>
  <si>
    <t>L2</t>
  </si>
  <si>
    <t>Inductor</t>
  </si>
  <si>
    <t>10uH</t>
  </si>
  <si>
    <t>U1</t>
  </si>
  <si>
    <t>U2</t>
  </si>
  <si>
    <t>U3</t>
  </si>
  <si>
    <t>U4</t>
  </si>
  <si>
    <t>U7</t>
  </si>
  <si>
    <t>U8</t>
  </si>
  <si>
    <t>Link</t>
  </si>
  <si>
    <t>Quantity (per Board)</t>
  </si>
  <si>
    <t>C16</t>
  </si>
  <si>
    <t>100pF</t>
  </si>
  <si>
    <t>SS34</t>
  </si>
  <si>
    <t>L3</t>
  </si>
  <si>
    <t>4.7uH</t>
  </si>
  <si>
    <t>1uH</t>
  </si>
  <si>
    <t>MGFL2012F100MT-LF</t>
  </si>
  <si>
    <t>SI2302-TP</t>
  </si>
  <si>
    <t>R5</t>
  </si>
  <si>
    <t>R9</t>
  </si>
  <si>
    <t>R14</t>
  </si>
  <si>
    <t>1K</t>
  </si>
  <si>
    <t>33K</t>
  </si>
  <si>
    <t>12K</t>
  </si>
  <si>
    <t>3.3K</t>
  </si>
  <si>
    <t>SKHHLQA010</t>
  </si>
  <si>
    <t>X1</t>
  </si>
  <si>
    <t>U5</t>
  </si>
  <si>
    <t>SOT-23-6</t>
  </si>
  <si>
    <t>FS8205A</t>
  </si>
  <si>
    <t>INA181A3IDBVR</t>
  </si>
  <si>
    <t>ATMEGA328P-AU</t>
  </si>
  <si>
    <t xml:space="preserve">KYOCERA AVX
</t>
  </si>
  <si>
    <t>YAGEO</t>
  </si>
  <si>
    <t>KEMET</t>
  </si>
  <si>
    <t xml:space="preserve">Taiyo Yuden
</t>
  </si>
  <si>
    <t>onsemi</t>
  </si>
  <si>
    <t xml:space="preserve">Micro </t>
  </si>
  <si>
    <t xml:space="preserve">IC CURR SENSE 1 CIRCUIT SOT23-6
</t>
  </si>
  <si>
    <t xml:space="preserve">Würth </t>
  </si>
  <si>
    <t>LED</t>
  </si>
  <si>
    <t>Switch</t>
  </si>
  <si>
    <t>IC</t>
  </si>
  <si>
    <t xml:space="preserve">Connector </t>
  </si>
  <si>
    <t>Bill of Material (BOM) for Briac</t>
  </si>
  <si>
    <t>Quantity 5</t>
  </si>
  <si>
    <t>2.2nF</t>
  </si>
  <si>
    <t>1000pF</t>
  </si>
  <si>
    <t>CAP CER 0.1UF 50V Y5V 0603</t>
  </si>
  <si>
    <t>C1, C2, C3, C4, C7, C9, C10, C13, C15, C20, C21, C22, C23, C24, C25, C26, C32, C33, C34, C35, CC1, CC2</t>
  </si>
  <si>
    <t>Cap0603</t>
  </si>
  <si>
    <t>CC0603ZRY5V9BB104</t>
  </si>
  <si>
    <t>CAP CER 22UF 35V X5R 0805</t>
  </si>
  <si>
    <t>C5, C6, C14, C29, C30, C31</t>
  </si>
  <si>
    <t>Cap0805</t>
  </si>
  <si>
    <t>C2012X5R1V226MT000E</t>
  </si>
  <si>
    <t>CAP ALUM 10UF 20% 50V SMD</t>
  </si>
  <si>
    <t>C8, C11, C12</t>
  </si>
  <si>
    <t>UWX1H100MCL1GB</t>
  </si>
  <si>
    <t>CAP CER 100PF 25V C0G/NPO 0603</t>
  </si>
  <si>
    <t>CC0603JRNPO8BN101</t>
  </si>
  <si>
    <t>CAP CER 1UF 25V Y5V 0603</t>
  </si>
  <si>
    <t>C17, C28</t>
  </si>
  <si>
    <t>CC0603ZRY5V8BB105</t>
  </si>
  <si>
    <t>CAP CER 0402 2.2NF 25V C0G 5%</t>
  </si>
  <si>
    <t>C18</t>
  </si>
  <si>
    <t>Cap 0402</t>
  </si>
  <si>
    <t>C0402C222J3GEC7867</t>
  </si>
  <si>
    <t>CAP CER 10UF 25V X5R 0603</t>
  </si>
  <si>
    <t>C19, C27</t>
  </si>
  <si>
    <t>CC0603MRX5R8BB106</t>
  </si>
  <si>
    <t>CAP CER 1000PF 10V X7R 0603</t>
  </si>
  <si>
    <t>C39</t>
  </si>
  <si>
    <t>0603ZC102KAT2A</t>
  </si>
  <si>
    <t>Custom</t>
  </si>
  <si>
    <t>D1</t>
  </si>
  <si>
    <t>SOD-523 ESD Protection Devices ROHS</t>
  </si>
  <si>
    <t>D2</t>
  </si>
  <si>
    <t>LESD5Z5.0CT1G</t>
  </si>
  <si>
    <t>DIODE SCHOTTKY 20V 2A SOD323</t>
  </si>
  <si>
    <t>D3, D4</t>
  </si>
  <si>
    <t>SDM2U20SD3-7</t>
  </si>
  <si>
    <t>500mA 10uH ±20% 320mΩ 0805 Inductors</t>
  </si>
  <si>
    <t>Ind0805</t>
  </si>
  <si>
    <t>NR5040T4R7N</t>
  </si>
  <si>
    <t>1239AS-H-1R0M=P2</t>
  </si>
  <si>
    <t>Yellow-Green 0402 Light Emitting Diodes</t>
  </si>
  <si>
    <t>LED1, LED2, LED3, LED4</t>
  </si>
  <si>
    <t>LED 0402</t>
  </si>
  <si>
    <t>TZ-P2-0402YGTIA1-0.45T</t>
  </si>
  <si>
    <t>SMD LED 2835 Chips 1W 3V SMD</t>
  </si>
  <si>
    <t>LED5, LED6, LED7, LED8</t>
  </si>
  <si>
    <t>2835 LED</t>
  </si>
  <si>
    <t>SI2302 Series 20 3 A N-Ch Enhancement Mode Field Effect Transistor - SOT-23-3</t>
  </si>
  <si>
    <t>Q1</t>
  </si>
  <si>
    <t>2 N-Channel 466pF 10V 5.7nC 10V +150℃ (Tj) SOT23-6 MOSFETs</t>
  </si>
  <si>
    <t>Mosfet N-ch 12V 3.2A 3-PIN X2-DFN T/r</t>
  </si>
  <si>
    <t>Q4</t>
  </si>
  <si>
    <t>DMN1045UFR4-7</t>
  </si>
  <si>
    <t>RES SMD 1K OHM 1% 1/10W 0603</t>
  </si>
  <si>
    <t>R1, R2, R30, R32, R34</t>
  </si>
  <si>
    <t>Res0603</t>
  </si>
  <si>
    <t>RC0603FR-071KL</t>
  </si>
  <si>
    <t>RES SMD 100K OHM 1% 1/10W 0603</t>
  </si>
  <si>
    <t>R3, R25, R31, R33, R35, R37</t>
  </si>
  <si>
    <t>RC0603FR-07100KL</t>
  </si>
  <si>
    <t>RES 0.05 OHM 1% 1/10W 0603</t>
  </si>
  <si>
    <t>WSL0603R0500FEA</t>
  </si>
  <si>
    <t>RES SMD 0R, 1%, 0.1W, 0603</t>
  </si>
  <si>
    <t>RC0603FR-070RL</t>
  </si>
  <si>
    <t>RES SMD 10K OHM 5% 1/10W 0603</t>
  </si>
  <si>
    <t>R6, R10, R15, R16, R17, R19, R23</t>
  </si>
  <si>
    <t>AC0603JR-0710KL</t>
  </si>
  <si>
    <t>RES 0.001 OHM 5% 2W 2512</t>
  </si>
  <si>
    <t>R7</t>
  </si>
  <si>
    <t>RES 2512</t>
  </si>
  <si>
    <t>PA2512JKF7W0R001E</t>
  </si>
  <si>
    <t>RES SMD 12K OHM 1% 1/10W 0603</t>
  </si>
  <si>
    <t>ERJ3EKF1202V</t>
  </si>
  <si>
    <t>AC0603FR-0733KL</t>
  </si>
  <si>
    <t>RES SMD 3.3K OHM 1% 1/10W 0603</t>
  </si>
  <si>
    <t>R11, R12, R13</t>
  </si>
  <si>
    <t>RC0603FR-073K3L</t>
  </si>
  <si>
    <t>RES 470K OHM 5% 1/10W 0603</t>
  </si>
  <si>
    <t>RC0603JR-07470KL</t>
  </si>
  <si>
    <t>R20</t>
  </si>
  <si>
    <t>ERJU3RD3300V</t>
  </si>
  <si>
    <t>RES SMD 732kOhm 1% 0603</t>
  </si>
  <si>
    <t>R24</t>
  </si>
  <si>
    <t>AC0603FR-07732KL</t>
  </si>
  <si>
    <t>RES SMD 1206 0.1 Ohm 1% 1W ±100ppm/°C</t>
  </si>
  <si>
    <t>R26, R27, R28, R29</t>
  </si>
  <si>
    <t>Res-1206</t>
  </si>
  <si>
    <t>ERJ8BWFR100V</t>
  </si>
  <si>
    <t>0.05R</t>
  </si>
  <si>
    <t>0R</t>
  </si>
  <si>
    <t>0.001R</t>
  </si>
  <si>
    <t>470K</t>
  </si>
  <si>
    <t>330R</t>
  </si>
  <si>
    <t>732K</t>
  </si>
  <si>
    <t>100m</t>
  </si>
  <si>
    <t>3mm 2mm Round Button 50mA Top3.65mm SPST 12V SMD Tactile Switches</t>
  </si>
  <si>
    <t>SW1</t>
  </si>
  <si>
    <t>TS-1185EC-C-D-B</t>
  </si>
  <si>
    <t>SW2</t>
  </si>
  <si>
    <t>IC MCU 8BIT 32KB FLASH 32TQFP</t>
  </si>
  <si>
    <t>32 TQFP (7X7)</t>
  </si>
  <si>
    <t>QFN-16_4x4x065P Battery Management ICs ROHS</t>
  </si>
  <si>
    <t>16-QFN (4x4)</t>
  </si>
  <si>
    <t>TP5000_QFN16</t>
  </si>
  <si>
    <t>IC PWR SWITCH N-CHAN 1:1 8TDFN</t>
  </si>
  <si>
    <t>SLG7NT402V</t>
  </si>
  <si>
    <t>NC7SZ05P5X</t>
  </si>
  <si>
    <t>TPS2115ADRBTG4</t>
  </si>
  <si>
    <t>TPS61023DRLR</t>
  </si>
  <si>
    <t>IC PWR DRIVER P-CHAN 1:1 6TSOP</t>
  </si>
  <si>
    <t>U9</t>
  </si>
  <si>
    <t>NTGD1100LT1G</t>
  </si>
  <si>
    <t>16MHz SMD Crystal Resonator 10pF 80Ω ±10ppm</t>
  </si>
  <si>
    <t>Q24FA20H0051200</t>
  </si>
  <si>
    <t>7A Jack DCPowerReceptacle 4.3mm 1.65mm</t>
  </si>
  <si>
    <t>DC-C024E-7A-1.65</t>
  </si>
  <si>
    <t>USB - Type A 4 USB 2.0 Female THT</t>
  </si>
  <si>
    <t>J2, J3</t>
  </si>
  <si>
    <t>901-141A1011D10100</t>
  </si>
  <si>
    <t>USB - Type B 4 USB 2.0 Female Through Hole</t>
  </si>
  <si>
    <t>J4</t>
  </si>
  <si>
    <t>U241-041N-1BR85-1</t>
  </si>
  <si>
    <t>CONN HEADER VERT 6POS 2.54MM</t>
  </si>
  <si>
    <t>P1</t>
  </si>
  <si>
    <t>HDR1X6</t>
  </si>
  <si>
    <t>61300611121</t>
  </si>
  <si>
    <t>CONN HEADER VERT 2POS 2.54MM</t>
  </si>
  <si>
    <t>P2</t>
  </si>
  <si>
    <t>HDR1X2</t>
  </si>
  <si>
    <t>826629-2</t>
  </si>
  <si>
    <t>Yageo</t>
  </si>
  <si>
    <t>Unit Cost(5)</t>
  </si>
  <si>
    <t>Total Cost(5)</t>
  </si>
  <si>
    <t xml:space="preserve">TDK Corporation
</t>
  </si>
  <si>
    <t>Nichicon</t>
  </si>
  <si>
    <t>--------</t>
  </si>
  <si>
    <t xml:space="preserve">Diodes </t>
  </si>
  <si>
    <t>SOD323</t>
  </si>
  <si>
    <t xml:space="preserve">FIXED IND 4.7UH 3.1A 37.7MOHM SM
</t>
  </si>
  <si>
    <t xml:space="preserve">FIXED IND 1UH 3A 59 MOHM SMD
</t>
  </si>
  <si>
    <t xml:space="preserve">Murata </t>
  </si>
  <si>
    <t xml:space="preserve">SOT-23
</t>
  </si>
  <si>
    <t xml:space="preserve">X2-DFN1010-3
</t>
  </si>
  <si>
    <t xml:space="preserve">Vishay Dale
</t>
  </si>
  <si>
    <t>Panasonic</t>
  </si>
  <si>
    <t xml:space="preserve">RES SMD 33K OHM 1% 1/10W 0603
</t>
  </si>
  <si>
    <t xml:space="preserve">RES 330 OHM 0.5% 1/10W 0603 SMD
</t>
  </si>
  <si>
    <t xml:space="preserve">Tactile Switches 6.0x6.0x8.35mm 100gf
</t>
  </si>
  <si>
    <t>Alps Alpine</t>
  </si>
  <si>
    <t xml:space="preserve">3-SSOP
</t>
  </si>
  <si>
    <t xml:space="preserve">Rohm </t>
  </si>
  <si>
    <t xml:space="preserve">Dialog </t>
  </si>
  <si>
    <t>8-FC-TDFN (1.5x2)
'</t>
  </si>
  <si>
    <t>SC-70-5</t>
  </si>
  <si>
    <t xml:space="preserve">IC INVERTER OD 1CH 1-INP SC70-5
</t>
  </si>
  <si>
    <t xml:space="preserve">SOT-23-6 </t>
  </si>
  <si>
    <t>Texas Instruments</t>
  </si>
  <si>
    <t xml:space="preserve">IC OR CTRLR SRC SELECT 8SON
</t>
  </si>
  <si>
    <t xml:space="preserve">8-SON (3x3)
</t>
  </si>
  <si>
    <t xml:space="preserve">6-TSOP
</t>
  </si>
  <si>
    <t xml:space="preserve">SOT-563
</t>
  </si>
  <si>
    <t xml:space="preserve">FINISH GOODS FOR TPS61023
</t>
  </si>
  <si>
    <t>Crytal</t>
  </si>
  <si>
    <t xml:space="preserve">TE Connectivity
</t>
  </si>
  <si>
    <t>LCSC</t>
  </si>
  <si>
    <t xml:space="preserve">
LGE</t>
  </si>
  <si>
    <t xml:space="preserve">40V 500mV 3A 3A SMA Schottky Barrier Diodes (SBD) </t>
  </si>
  <si>
    <t xml:space="preserve">SOD-523
</t>
  </si>
  <si>
    <t xml:space="preserve">LRC </t>
  </si>
  <si>
    <t xml:space="preserve">microgate </t>
  </si>
  <si>
    <t xml:space="preserve">TUOZHAN </t>
  </si>
  <si>
    <t xml:space="preserve">TECH </t>
  </si>
  <si>
    <t xml:space="preserve">XKB </t>
  </si>
  <si>
    <t>TOPPOWER</t>
  </si>
  <si>
    <t>ON Semiconductor</t>
  </si>
  <si>
    <t xml:space="preserve">Seiko </t>
  </si>
  <si>
    <t>------------</t>
  </si>
  <si>
    <t>-----</t>
  </si>
  <si>
    <t xml:space="preserve">Jing </t>
  </si>
  <si>
    <t xml:space="preserve">XINGLIGHT </t>
  </si>
  <si>
    <t>-------</t>
  </si>
  <si>
    <t>Microchip</t>
  </si>
  <si>
    <t>-----------</t>
  </si>
  <si>
    <t>------</t>
  </si>
  <si>
    <t>RTT03R050FTP</t>
  </si>
  <si>
    <t>CC0402KRX7R8BB222</t>
  </si>
  <si>
    <t>CC0603KRX7R6BB102</t>
  </si>
  <si>
    <t>Alibaba</t>
  </si>
  <si>
    <t>Q5</t>
  </si>
  <si>
    <t>RES SMD 47K Ohm 1% 0.2W(1/5W) 0603</t>
  </si>
  <si>
    <t>R18, R21, R22, R36, R38, R39, R40, R41</t>
  </si>
  <si>
    <t>ERJP03F4702V</t>
  </si>
  <si>
    <t>47K</t>
  </si>
  <si>
    <t xml:space="preserve">PANASONIC </t>
  </si>
  <si>
    <t>LCSC MOQ (5 Board)</t>
  </si>
  <si>
    <t>LCSC MOQ (1Board)</t>
  </si>
  <si>
    <t>Unit Cost(1)</t>
  </si>
  <si>
    <t>Total Cost(1)</t>
  </si>
  <si>
    <t xml:space="preserve">XL-2835UWC-02
</t>
  </si>
  <si>
    <t>IC DETECTOR VOLT 2.9V OD SSOP3</t>
  </si>
  <si>
    <t>BD48K29G-TL</t>
  </si>
  <si>
    <t xml:space="preserve">urooj is part ki quoation chahiye alibaba an custom supplier se </t>
  </si>
  <si>
    <t>Chipmall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</si>
</sst>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00"/>
    <numFmt numFmtId="165" formatCode="_-[$$-409]* #,##0.00_ ;_-[$$-409]* \-#,##0.00\ ;_-[$$-409]* &quot;-&quot;??_ ;_-@_ "/>
    <numFmt numFmtId="166" formatCode="&quot;$&quot;#,##0.00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0">
    <xf numFmtId="0" fontId="0" fillId="0" borderId="0" xfId="0"/>
    <xf numFmtId="0" fontId="4" fillId="0" borderId="5" xfId="0" quotePrefix="1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Font="1"/>
    <xf numFmtId="0" fontId="7" fillId="0" borderId="7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5" xfId="0" quotePrefix="1" applyFont="1" applyBorder="1" applyAlignment="1">
      <alignment horizontal="center" vertical="center"/>
    </xf>
    <xf numFmtId="0" fontId="7" fillId="0" borderId="5" xfId="0" quotePrefix="1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165" fontId="9" fillId="3" borderId="7" xfId="0" applyNumberFormat="1" applyFont="1" applyFill="1" applyBorder="1" applyAlignment="1">
      <alignment horizontal="center" vertical="center"/>
    </xf>
    <xf numFmtId="165" fontId="9" fillId="3" borderId="8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66" fontId="11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" fillId="0" borderId="5" xfId="1" quotePrefix="1" applyBorder="1" applyAlignment="1">
      <alignment horizontal="center" vertical="center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11" xfId="0" quotePrefix="1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2" xfId="0" quotePrefix="1" applyFont="1" applyFill="1" applyBorder="1" applyAlignment="1">
      <alignment vertical="center" wrapText="1"/>
    </xf>
    <xf numFmtId="0" fontId="7" fillId="3" borderId="1" xfId="0" quotePrefix="1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/>
    </xf>
    <xf numFmtId="0" fontId="7" fillId="3" borderId="1" xfId="0" quotePrefix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5" fillId="3" borderId="1" xfId="1" quotePrefix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3" fillId="3" borderId="1" xfId="0" quotePrefix="1" applyFont="1" applyFill="1" applyBorder="1" applyAlignment="1">
      <alignment horizontal="center" vertical="center" wrapText="1"/>
    </xf>
    <xf numFmtId="0" fontId="7" fillId="3" borderId="13" xfId="0" quotePrefix="1" applyFont="1" applyFill="1" applyBorder="1" applyAlignment="1">
      <alignment vertical="center" wrapText="1"/>
    </xf>
    <xf numFmtId="0" fontId="7" fillId="3" borderId="10" xfId="0" quotePrefix="1" applyFont="1" applyFill="1" applyBorder="1" applyAlignment="1">
      <alignment horizontal="center" vertical="center" wrapText="1"/>
    </xf>
    <xf numFmtId="0" fontId="4" fillId="3" borderId="10" xfId="0" quotePrefix="1" applyFont="1" applyFill="1" applyBorder="1" applyAlignment="1">
      <alignment horizontal="center" vertical="center"/>
    </xf>
    <xf numFmtId="0" fontId="7" fillId="3" borderId="10" xfId="0" quotePrefix="1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5" fillId="3" borderId="10" xfId="1" quotePrefix="1" applyFill="1" applyBorder="1" applyAlignment="1">
      <alignment horizontal="center" vertical="center"/>
    </xf>
    <xf numFmtId="164" fontId="7" fillId="3" borderId="10" xfId="0" applyNumberFormat="1" applyFont="1" applyFill="1" applyBorder="1" applyAlignment="1">
      <alignment horizontal="center" vertical="center"/>
    </xf>
    <xf numFmtId="0" fontId="7" fillId="3" borderId="21" xfId="0" quotePrefix="1" applyFont="1" applyFill="1" applyBorder="1" applyAlignment="1">
      <alignment horizontal="center" vertical="center" wrapText="1"/>
    </xf>
    <xf numFmtId="0" fontId="4" fillId="3" borderId="21" xfId="0" quotePrefix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5" fillId="3" borderId="21" xfId="1" quotePrefix="1" applyFill="1" applyBorder="1" applyAlignment="1">
      <alignment horizontal="center" vertical="center"/>
    </xf>
    <xf numFmtId="164" fontId="7" fillId="3" borderId="21" xfId="0" applyNumberFormat="1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 wrapText="1"/>
    </xf>
    <xf numFmtId="0" fontId="7" fillId="3" borderId="22" xfId="0" quotePrefix="1" applyFont="1" applyFill="1" applyBorder="1" applyAlignment="1">
      <alignment vertical="center" wrapText="1"/>
    </xf>
    <xf numFmtId="0" fontId="7" fillId="3" borderId="23" xfId="0" quotePrefix="1" applyFont="1" applyFill="1" applyBorder="1" applyAlignment="1">
      <alignment horizontal="center" vertical="center" wrapText="1"/>
    </xf>
    <xf numFmtId="0" fontId="4" fillId="3" borderId="23" xfId="0" quotePrefix="1" applyFont="1" applyFill="1" applyBorder="1" applyAlignment="1">
      <alignment horizontal="center" vertical="center"/>
    </xf>
    <xf numFmtId="0" fontId="7" fillId="3" borderId="23" xfId="0" quotePrefix="1" applyFont="1" applyFill="1" applyBorder="1" applyAlignment="1">
      <alignment horizontal="center" vertical="center"/>
    </xf>
    <xf numFmtId="0" fontId="5" fillId="3" borderId="23" xfId="1" quotePrefix="1" applyFill="1" applyBorder="1" applyAlignment="1">
      <alignment horizontal="center" vertical="center"/>
    </xf>
    <xf numFmtId="164" fontId="7" fillId="3" borderId="23" xfId="0" applyNumberFormat="1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11" xfId="0" quotePrefix="1" applyFont="1" applyFill="1" applyBorder="1" applyAlignment="1">
      <alignment vertical="center" wrapText="1"/>
    </xf>
    <xf numFmtId="0" fontId="7" fillId="3" borderId="5" xfId="0" quotePrefix="1" applyFont="1" applyFill="1" applyBorder="1" applyAlignment="1">
      <alignment horizontal="center" vertical="center" wrapText="1"/>
    </xf>
    <xf numFmtId="0" fontId="4" fillId="3" borderId="5" xfId="0" quotePrefix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5" xfId="1" quotePrefix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165" fontId="14" fillId="3" borderId="7" xfId="0" applyNumberFormat="1" applyFont="1" applyFill="1" applyBorder="1" applyAlignment="1">
      <alignment horizontal="center" vertical="center"/>
    </xf>
    <xf numFmtId="0" fontId="7" fillId="3" borderId="12" xfId="0" quotePrefix="1" applyFont="1" applyFill="1" applyBorder="1" applyAlignment="1">
      <alignment vertical="center"/>
    </xf>
    <xf numFmtId="0" fontId="7" fillId="3" borderId="13" xfId="0" quotePrefix="1" applyFont="1" applyFill="1" applyBorder="1" applyAlignment="1">
      <alignment vertical="center"/>
    </xf>
    <xf numFmtId="0" fontId="4" fillId="3" borderId="10" xfId="0" applyFont="1" applyFill="1" applyBorder="1" applyAlignment="1">
      <alignment horizontal="center" vertical="center"/>
    </xf>
    <xf numFmtId="0" fontId="7" fillId="3" borderId="20" xfId="0" quotePrefix="1" applyFont="1" applyFill="1" applyBorder="1" applyAlignment="1">
      <alignment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24" xfId="0" applyFont="1" applyFill="1" applyBorder="1"/>
    <xf numFmtId="0" fontId="7" fillId="3" borderId="23" xfId="0" quotePrefix="1" applyFont="1" applyFill="1" applyBorder="1" applyAlignment="1">
      <alignment horizontal="center"/>
    </xf>
    <xf numFmtId="0" fontId="7" fillId="3" borderId="23" xfId="0" applyFont="1" applyFill="1" applyBorder="1" applyAlignment="1">
      <alignment horizontal="center" vertical="center" wrapText="1"/>
    </xf>
    <xf numFmtId="0" fontId="7" fillId="3" borderId="5" xfId="0" quotePrefix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26" xfId="0" quotePrefix="1" applyFont="1" applyFill="1" applyBorder="1" applyAlignment="1">
      <alignment horizontal="center" vertical="center" wrapText="1"/>
    </xf>
    <xf numFmtId="0" fontId="7" fillId="3" borderId="17" xfId="0" quotePrefix="1" applyFont="1" applyFill="1" applyBorder="1" applyAlignment="1">
      <alignment horizontal="center" vertical="center" wrapText="1"/>
    </xf>
    <xf numFmtId="0" fontId="7" fillId="3" borderId="22" xfId="0" quotePrefix="1" applyFont="1" applyFill="1" applyBorder="1" applyAlignment="1">
      <alignment vertical="center"/>
    </xf>
    <xf numFmtId="0" fontId="7" fillId="3" borderId="23" xfId="0" applyFont="1" applyFill="1" applyBorder="1" applyAlignment="1">
      <alignment horizontal="center"/>
    </xf>
    <xf numFmtId="0" fontId="14" fillId="3" borderId="7" xfId="0" applyFont="1" applyFill="1" applyBorder="1" applyAlignment="1">
      <alignment horizontal="center" vertical="center"/>
    </xf>
    <xf numFmtId="0" fontId="7" fillId="3" borderId="18" xfId="0" quotePrefix="1" applyFont="1" applyFill="1" applyBorder="1" applyAlignment="1">
      <alignment vertical="center" wrapText="1"/>
    </xf>
    <xf numFmtId="0" fontId="4" fillId="3" borderId="17" xfId="0" quotePrefix="1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 wrapText="1"/>
    </xf>
    <xf numFmtId="0" fontId="5" fillId="3" borderId="17" xfId="1" quotePrefix="1" applyFill="1" applyBorder="1" applyAlignment="1">
      <alignment horizontal="center" vertical="center"/>
    </xf>
    <xf numFmtId="164" fontId="7" fillId="3" borderId="17" xfId="0" applyNumberFormat="1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5" fillId="3" borderId="5" xfId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5" fillId="3" borderId="10" xfId="1" applyFill="1" applyBorder="1" applyAlignment="1">
      <alignment horizontal="center" vertical="center"/>
    </xf>
    <xf numFmtId="0" fontId="13" fillId="3" borderId="10" xfId="0" quotePrefix="1" applyFont="1" applyFill="1" applyBorder="1" applyAlignment="1">
      <alignment horizontal="center" vertical="center" wrapText="1"/>
    </xf>
    <xf numFmtId="0" fontId="7" fillId="0" borderId="27" xfId="0" quotePrefix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1" quotePrefix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Alignment="1"/>
    <xf numFmtId="0" fontId="2" fillId="0" borderId="14" xfId="0" applyFont="1" applyBorder="1" applyAlignment="1">
      <alignment horizontal="center" vertical="center"/>
    </xf>
    <xf numFmtId="0" fontId="8" fillId="3" borderId="0" xfId="0" applyFont="1" applyFill="1" applyBorder="1" applyAlignment="1">
      <alignment horizontal="center" wrapText="1"/>
    </xf>
    <xf numFmtId="0" fontId="8" fillId="3" borderId="0" xfId="0" applyFont="1" applyFill="1" applyBorder="1" applyAlignment="1">
      <alignment horizontal="center" vertical="center" wrapText="1"/>
    </xf>
    <xf numFmtId="164" fontId="7" fillId="0" borderId="27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27" xfId="0" quotePrefix="1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164" fontId="7" fillId="0" borderId="26" xfId="0" applyNumberFormat="1" applyFont="1" applyBorder="1" applyAlignment="1">
      <alignment horizontal="center" vertical="center"/>
    </xf>
    <xf numFmtId="0" fontId="7" fillId="3" borderId="18" xfId="0" quotePrefix="1" applyFont="1" applyFill="1" applyBorder="1" applyAlignment="1">
      <alignment vertical="center"/>
    </xf>
    <xf numFmtId="0" fontId="7" fillId="3" borderId="21" xfId="0" quotePrefix="1" applyFont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0" fillId="3" borderId="23" xfId="0" applyFill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165" fontId="14" fillId="3" borderId="25" xfId="0" applyNumberFormat="1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164" fontId="8" fillId="3" borderId="0" xfId="0" applyNumberFormat="1" applyFont="1" applyFill="1" applyBorder="1" applyAlignment="1">
      <alignment horizontal="center" wrapText="1"/>
    </xf>
    <xf numFmtId="164" fontId="12" fillId="0" borderId="0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wrapText="1"/>
    </xf>
    <xf numFmtId="0" fontId="8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product-detail/Light-Emitting-Diodes-span-style-background-color-ff0-LED-span_XINGLIGHT-XL-2835UWC-02_C2843876.html" TargetMode="External"/><Relationship Id="rId18" Type="http://schemas.openxmlformats.org/officeDocument/2006/relationships/hyperlink" Target="https://lcsc.com/product-detail/Multilayer-Ceramic-Capacitors-MLCC-SMD-SMT_YAGEO-CC0603ZRY5V8BB105_C106848.html" TargetMode="External"/><Relationship Id="rId26" Type="http://schemas.openxmlformats.org/officeDocument/2006/relationships/hyperlink" Target="https://lcsc.com/product-detail/Chip-Resistor-Surface-Mount_YAGEO-RC0603FR-073K3L_C108078.html" TargetMode="External"/><Relationship Id="rId39" Type="http://schemas.openxmlformats.org/officeDocument/2006/relationships/hyperlink" Target="https://lcsc.com/product-detail/Pin-Headers_TE-Connectivity-826629-2_C86471.html" TargetMode="External"/><Relationship Id="rId21" Type="http://schemas.openxmlformats.org/officeDocument/2006/relationships/hyperlink" Target="https://lcsc.com/product-detail/Chip-Resistor-Surface-Mount_YAGEO-RC0603FR-071KL_C22548.html" TargetMode="External"/><Relationship Id="rId34" Type="http://schemas.openxmlformats.org/officeDocument/2006/relationships/hyperlink" Target="https://lcsc.com/product-detail/Chip-Resistor-Surface-Mount_PANASONIC-ERJP03F4702V_C278670.html" TargetMode="External"/><Relationship Id="rId42" Type="http://schemas.openxmlformats.org/officeDocument/2006/relationships/hyperlink" Target="https://www.alibaba.com/product-detail/MOSFET-N-CH-12V-3-2A_1600178559989.html?spm=a2700.galleryofferlist.normal_offer.d_title.135670b3W8syAS" TargetMode="External"/><Relationship Id="rId47" Type="http://schemas.openxmlformats.org/officeDocument/2006/relationships/hyperlink" Target="https://www.alibaba.com/product-detail/INA181A3IDBVR-SOT-23-6-Amplifier-ICs_1600415147726.html?spm=a2700.galleryofferlist.normal_offer.d_title.4d62773f3xSBUX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https://lcsc.com/product-detail/Chip-Resistor-Surface-Mount_YAGEO-PA2512JKF7W0R001E_C728356.html" TargetMode="External"/><Relationship Id="rId2" Type="http://schemas.openxmlformats.org/officeDocument/2006/relationships/hyperlink" Target="https://lcsc.com/product-detail/span-style-background-color-ff0-ESD-span-Protection-Devices_LRC-LESD5Z5-0CT1G_C136167.html" TargetMode="External"/><Relationship Id="rId16" Type="http://schemas.openxmlformats.org/officeDocument/2006/relationships/hyperlink" Target="https://lcsc.com/product-detail/Multilayer-Ceramic-Capacitors-MLCC-SMD-SMT_YAGEO-CC0603ZRY5V9BB104_C106221.html" TargetMode="External"/><Relationship Id="rId29" Type="http://schemas.openxmlformats.org/officeDocument/2006/relationships/hyperlink" Target="https://lcsc.com/product-detail/Chip-Resistor-Surface-Mount_YAGEO-AC0603FR-07732KL_C228042.html" TargetMode="External"/><Relationship Id="rId11" Type="http://schemas.openxmlformats.org/officeDocument/2006/relationships/hyperlink" Target="https://lcsc.com/product-detail/USB-Connectors_Jing-Extension-of-the-Electronic-Co-901-141A1011D10100_C42665.html" TargetMode="External"/><Relationship Id="rId24" Type="http://schemas.openxmlformats.org/officeDocument/2006/relationships/hyperlink" Target="https://lcsc.com/product-detail/Chip-Resistor-Surface-Mount_PANASONIC-ERJ3EKF1202V_C400645.html" TargetMode="External"/><Relationship Id="rId32" Type="http://schemas.openxmlformats.org/officeDocument/2006/relationships/hyperlink" Target="https://lcsc.com/product-detail/Multilayer-Ceramic-Capacitors-MLCC-SMD-SMT_YAGEO-CC0402KRX7R8BB222_C541386.html" TargetMode="External"/><Relationship Id="rId37" Type="http://schemas.openxmlformats.org/officeDocument/2006/relationships/hyperlink" Target="https://lcsc.com/product-detail/MOSFETs_MCC-Micro-Commercial-Components-SI2302-TP_C77977.html" TargetMode="External"/><Relationship Id="rId40" Type="http://schemas.openxmlformats.org/officeDocument/2006/relationships/hyperlink" Target="https://www.alibaba.com/product-detail/Aluminum-Electrolytic-Capacitors-SMD-10uF-20_10000005679813.html?spm=a2700.galleryofferlist.normal_offer.d_title.72811e583eCeua" TargetMode="External"/><Relationship Id="rId45" Type="http://schemas.openxmlformats.org/officeDocument/2006/relationships/hyperlink" Target="https://www.alibaba.com/product-detail/SLG7NT402V-LOAD-SWITCH-INTEGRATED-CHARGE-P_1600425007181.html?spm=a2700.galleryofferlist.normal_offer.d_title.3ee77337HbgRli" TargetMode="External"/><Relationship Id="rId5" Type="http://schemas.openxmlformats.org/officeDocument/2006/relationships/hyperlink" Target="https://lcsc.com/product-detail/MOSFETs_TECH-PUBLIC-FS8205A_C2830320.html" TargetMode="External"/><Relationship Id="rId15" Type="http://schemas.openxmlformats.org/officeDocument/2006/relationships/hyperlink" Target="https://lcsc.com/product-detail/Multilayer-Ceramic-Capacitors-MLCC-SMD-SMT_YAGEO-CC0603MRX5R8BB106_C596327.html" TargetMode="External"/><Relationship Id="rId23" Type="http://schemas.openxmlformats.org/officeDocument/2006/relationships/hyperlink" Target="https://lcsc.com/product-detail/Chip-Resistor-Surface-Mount_YAGEO-AC0603JR-0710KL_C140867.html" TargetMode="External"/><Relationship Id="rId28" Type="http://schemas.openxmlformats.org/officeDocument/2006/relationships/hyperlink" Target="https://lcsc.com/product-detail/Chip-Resistor-Surface-Mount_PANASONIC-ERJU3RD3300V_C491170.html" TargetMode="External"/><Relationship Id="rId36" Type="http://schemas.openxmlformats.org/officeDocument/2006/relationships/hyperlink" Target="https://lcsc.com/product-detail/Multilayer-Ceramic-Capacitors-MLCC-SMD-SMT_TDK-C2012X5R1V226MT000E_C338080.html" TargetMode="External"/><Relationship Id="rId49" Type="http://schemas.openxmlformats.org/officeDocument/2006/relationships/hyperlink" Target="https://www.alibaba.com/product-detail/New-and-Original-Integrated-Circuits-NTGD1100LT1G_1600411152208.html?spm=a2700.galleryofferlist.normal_offer.d_title.1e121b10vgbDwB" TargetMode="External"/><Relationship Id="rId10" Type="http://schemas.openxmlformats.org/officeDocument/2006/relationships/hyperlink" Target="https://lcsc.com/product-detail/Crystals_Seiko-Epson-Q24FA20H0051200_C255947.html" TargetMode="External"/><Relationship Id="rId19" Type="http://schemas.openxmlformats.org/officeDocument/2006/relationships/hyperlink" Target="https://lcsc.com/product-detail/Schottky-Barrier-Diodes-SBD_Diodes-Incorporated-SDM2U20SD3-7_C460258.html" TargetMode="External"/><Relationship Id="rId31" Type="http://schemas.openxmlformats.org/officeDocument/2006/relationships/hyperlink" Target="https://lcsc.com/product-detail/Chip-span-style-background-color-ff0-Resistor-span-Surface-Mount_RALEC-RTT03R050FTP_C158895.html" TargetMode="External"/><Relationship Id="rId44" Type="http://schemas.openxmlformats.org/officeDocument/2006/relationships/hyperlink" Target="https://www.alibaba.com/product-detail/Integrated-circuit-chip-BD48K29G-TL_1600424790577.html?spm=a2700.galleryofferlist.normal_offer.d_title.2a7f3e4bCFJca2" TargetMode="External"/><Relationship Id="rId4" Type="http://schemas.openxmlformats.org/officeDocument/2006/relationships/hyperlink" Target="https://lcsc.com/product-detail/Light-Emitting-Diodes-LED_TUOZHAN-TZ-P2-0402YGTIA1-0-45T_C688878.html" TargetMode="External"/><Relationship Id="rId9" Type="http://schemas.openxmlformats.org/officeDocument/2006/relationships/hyperlink" Target="https://lcsc.com/product-detail/Battery-Management-ICs_TOPPOWER-Nanjing-Extension-Microelectronics-TP5000-QFN16_C51699.html" TargetMode="External"/><Relationship Id="rId14" Type="http://schemas.openxmlformats.org/officeDocument/2006/relationships/hyperlink" Target="https://www.alibaba.com/product-detail/TPS2115ADRBTG4-IC-OR-CTRLR-SRC-SELECT_1600320487301.html" TargetMode="External"/><Relationship Id="rId22" Type="http://schemas.openxmlformats.org/officeDocument/2006/relationships/hyperlink" Target="https://lcsc.com/product-detail/Chip-Resistor-Surface-Mount_YAGEO-RC0603FR-07100KL_C14675.html" TargetMode="External"/><Relationship Id="rId27" Type="http://schemas.openxmlformats.org/officeDocument/2006/relationships/hyperlink" Target="https://lcsc.com/product-detail/Chip-Resistor-Surface-Mount_YAGEO-RC0603JR-07470KL_C115418.html" TargetMode="External"/><Relationship Id="rId30" Type="http://schemas.openxmlformats.org/officeDocument/2006/relationships/hyperlink" Target="https://lcsc.com/product-detail/Chip-Resistor-Surface-Mount_PANASONIC-ERJ8BWFR100V_C411236.html" TargetMode="External"/><Relationship Id="rId35" Type="http://schemas.openxmlformats.org/officeDocument/2006/relationships/hyperlink" Target="https://lcsc.com/product-detail/Pin-Headers_Shenzhen-Kinghelm-Elec-KH-2-54PH180-1X6P-L11-5_C2905486.html" TargetMode="External"/><Relationship Id="rId43" Type="http://schemas.openxmlformats.org/officeDocument/2006/relationships/hyperlink" Target="https://www.chipmall.com/product_detail/ALPS/Tactile-Switches/SKHHLQA010_1757321.html?utm_source=digipart&amp;utm_medium=buyNow" TargetMode="External"/><Relationship Id="rId48" Type="http://schemas.openxmlformats.org/officeDocument/2006/relationships/hyperlink" Target="https://www.alibaba.com/product-detail/Original-microcontroller-electronic-IC-CHIP-Transistor_1600360199012.html?spm=a2700.galleryofferlist.normal_offer.d_title.7ead7e7dcZ7S05&amp;s=p" TargetMode="External"/><Relationship Id="rId8" Type="http://schemas.openxmlformats.org/officeDocument/2006/relationships/hyperlink" Target="https://lcsc.com/product-detail/Tactile-Switches_XKB-Connectivity-TS-1185EC-C-D-B_C318893.html" TargetMode="External"/><Relationship Id="rId3" Type="http://schemas.openxmlformats.org/officeDocument/2006/relationships/hyperlink" Target="https://lcsc.com/product-detail/Inductors-SMD_microgate-MGFL2012F100MT-LF_C281113.html" TargetMode="External"/><Relationship Id="rId12" Type="http://schemas.openxmlformats.org/officeDocument/2006/relationships/hyperlink" Target="https://lcsc.com/product-detail/USB-Connectors_XKB-Connectivity-U241-041N-1BR85-1_C397338.html" TargetMode="External"/><Relationship Id="rId17" Type="http://schemas.openxmlformats.org/officeDocument/2006/relationships/hyperlink" Target="https://lcsc.com/product-detail/Multilayer-Ceramic-Capacitors-MLCC-SMD-SMT_YAGEO-CC0603JRNPO8BN101_C519387.html" TargetMode="External"/><Relationship Id="rId25" Type="http://schemas.openxmlformats.org/officeDocument/2006/relationships/hyperlink" Target="https://lcsc.com/product-detail/Chip-Resistor-Surface-Mount_YAGEO-AC0603FR-0733KL_C138282.html" TargetMode="External"/><Relationship Id="rId33" Type="http://schemas.openxmlformats.org/officeDocument/2006/relationships/hyperlink" Target="https://lcsc.com/product-detail/Multilayer-Ceramic-Capacitors-MLCC-SMD-SMT_YAGEO-CC0603KRX7R6BB102_C519402.html" TargetMode="External"/><Relationship Id="rId38" Type="http://schemas.openxmlformats.org/officeDocument/2006/relationships/hyperlink" Target="https://lcsc.com/product-detail/ATMEL-AVR_Microchip-Tech-ATMEGA328P-AU_C14877.html" TargetMode="External"/><Relationship Id="rId46" Type="http://schemas.openxmlformats.org/officeDocument/2006/relationships/hyperlink" Target="https://www.alibaba.com/product-detail/Shenzhen-KWM-Logic-Chip-NC7SZ05P5X_1600426195909.html?spm=a2700.galleryofferlist.normal_offer.d_title.2bb67c50vwrhJ6" TargetMode="External"/><Relationship Id="rId20" Type="http://schemas.openxmlformats.org/officeDocument/2006/relationships/hyperlink" Target="https://lcsc.com/product-detail/Inductors-SMD_Murata-Electronics-1239AS-H-1R0M-P2_C167447.html" TargetMode="External"/><Relationship Id="rId41" Type="http://schemas.openxmlformats.org/officeDocument/2006/relationships/hyperlink" Target="https://www.alibaba.com/product-detail/-Original-stock-NR5040T4R7N-Inductor_1600314726726.html?spm=a2700.galleryofferlist.normal_offer.d_title.73c55d459aDMeE" TargetMode="External"/><Relationship Id="rId1" Type="http://schemas.openxmlformats.org/officeDocument/2006/relationships/hyperlink" Target="https://lcsc.com/product-detail/Schottky-Barrier-Diodes-SBD_LGE-SS34_C432300.html" TargetMode="External"/><Relationship Id="rId6" Type="http://schemas.openxmlformats.org/officeDocument/2006/relationships/hyperlink" Target="https://lcsc.com/product-detail/Chip-Resistor-Surface-Mount_YAGEO-RC0603FR-070RL_C10004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"/>
  <sheetViews>
    <sheetView tabSelected="1" zoomScale="86" zoomScaleNormal="85" workbookViewId="0">
      <selection activeCell="E22" sqref="E22"/>
    </sheetView>
  </sheetViews>
  <sheetFormatPr defaultRowHeight="15" x14ac:dyDescent="0.25"/>
  <cols>
    <col min="1" max="1" width="6.140625" style="6" bestFit="1" customWidth="1"/>
    <col min="2" max="2" width="14.42578125" customWidth="1"/>
    <col min="3" max="3" width="40.85546875" style="14" customWidth="1"/>
    <col min="4" max="4" width="31.5703125" style="6" bestFit="1" customWidth="1"/>
    <col min="5" max="5" width="19.28515625" style="15" bestFit="1" customWidth="1"/>
    <col min="6" max="6" width="25.28515625" style="15" bestFit="1" customWidth="1"/>
    <col min="7" max="7" width="19.140625" bestFit="1" customWidth="1"/>
    <col min="8" max="8" width="18.7109375" bestFit="1" customWidth="1"/>
    <col min="9" max="9" width="7.28515625" style="6" bestFit="1" customWidth="1"/>
    <col min="10" max="11" width="19.7109375" style="6" bestFit="1" customWidth="1"/>
    <col min="12" max="12" width="19.42578125" style="6" bestFit="1" customWidth="1"/>
    <col min="13" max="13" width="12" bestFit="1" customWidth="1"/>
    <col min="14" max="14" width="10.5703125" bestFit="1" customWidth="1"/>
    <col min="15" max="15" width="12" bestFit="1" customWidth="1"/>
    <col min="16" max="16" width="12.5703125" bestFit="1" customWidth="1"/>
    <col min="17" max="17" width="13.140625" bestFit="1" customWidth="1"/>
    <col min="18" max="18" width="13.7109375" bestFit="1" customWidth="1"/>
    <col min="19" max="19" width="35.5703125" bestFit="1" customWidth="1"/>
  </cols>
  <sheetData>
    <row r="1" spans="1:21" ht="16.5" thickBot="1" x14ac:dyDescent="0.3">
      <c r="A1" s="127" t="s">
        <v>73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9"/>
    </row>
    <row r="2" spans="1:21" ht="15.75" thickBot="1" x14ac:dyDescent="0.3">
      <c r="A2" s="2" t="s">
        <v>8</v>
      </c>
      <c r="B2" s="2" t="s">
        <v>9</v>
      </c>
      <c r="C2" s="2" t="s">
        <v>0</v>
      </c>
      <c r="D2" s="2" t="s">
        <v>1</v>
      </c>
      <c r="E2" s="2" t="s">
        <v>10</v>
      </c>
      <c r="F2" s="2" t="s">
        <v>3</v>
      </c>
      <c r="G2" s="2" t="s">
        <v>2</v>
      </c>
      <c r="H2" s="2" t="s">
        <v>11</v>
      </c>
      <c r="I2" s="2" t="s">
        <v>12</v>
      </c>
      <c r="J2" s="2" t="s">
        <v>270</v>
      </c>
      <c r="K2" s="2" t="s">
        <v>269</v>
      </c>
      <c r="L2" s="2" t="s">
        <v>38</v>
      </c>
      <c r="M2" s="2" t="s">
        <v>74</v>
      </c>
      <c r="N2" s="2" t="s">
        <v>37</v>
      </c>
      <c r="O2" s="2" t="s">
        <v>271</v>
      </c>
      <c r="P2" s="2" t="s">
        <v>272</v>
      </c>
      <c r="Q2" s="2" t="s">
        <v>206</v>
      </c>
      <c r="R2" s="2" t="s">
        <v>207</v>
      </c>
      <c r="S2" s="2" t="s">
        <v>13</v>
      </c>
    </row>
    <row r="3" spans="1:21" ht="39" thickBot="1" x14ac:dyDescent="0.3">
      <c r="A3" s="12">
        <v>1</v>
      </c>
      <c r="B3" s="122" t="s">
        <v>14</v>
      </c>
      <c r="C3" s="19" t="s">
        <v>77</v>
      </c>
      <c r="D3" s="54" t="s">
        <v>78</v>
      </c>
      <c r="E3" s="8" t="s">
        <v>79</v>
      </c>
      <c r="F3" s="91" t="s">
        <v>80</v>
      </c>
      <c r="G3" s="1" t="s">
        <v>205</v>
      </c>
      <c r="H3" s="7" t="s">
        <v>257</v>
      </c>
      <c r="I3" s="8" t="s">
        <v>4</v>
      </c>
      <c r="J3" s="8">
        <v>100</v>
      </c>
      <c r="K3" s="8">
        <v>200</v>
      </c>
      <c r="L3" s="20">
        <v>22</v>
      </c>
      <c r="M3" s="103">
        <f>L3*5</f>
        <v>110</v>
      </c>
      <c r="N3" s="16" t="s">
        <v>239</v>
      </c>
      <c r="O3" s="58">
        <v>3.2000000000000002E-3</v>
      </c>
      <c r="P3" s="58">
        <f>O3*J3</f>
        <v>0.32</v>
      </c>
      <c r="Q3" s="5">
        <v>3.2000000000000002E-3</v>
      </c>
      <c r="R3" s="100">
        <f>Q3*K3</f>
        <v>0.64</v>
      </c>
      <c r="S3" s="4"/>
      <c r="T3" s="3"/>
      <c r="U3" s="3"/>
    </row>
    <row r="4" spans="1:21" ht="15.75" thickBot="1" x14ac:dyDescent="0.3">
      <c r="A4" s="12">
        <v>2</v>
      </c>
      <c r="B4" s="123"/>
      <c r="C4" s="23" t="s">
        <v>81</v>
      </c>
      <c r="D4" s="24" t="s">
        <v>82</v>
      </c>
      <c r="E4" s="24" t="s">
        <v>83</v>
      </c>
      <c r="F4" s="9" t="s">
        <v>84</v>
      </c>
      <c r="G4" s="25" t="s">
        <v>208</v>
      </c>
      <c r="H4" s="26" t="s">
        <v>210</v>
      </c>
      <c r="I4" s="24" t="s">
        <v>20</v>
      </c>
      <c r="J4" s="24">
        <v>10</v>
      </c>
      <c r="K4" s="24">
        <v>35</v>
      </c>
      <c r="L4" s="27">
        <v>6</v>
      </c>
      <c r="M4" s="105">
        <f t="shared" ref="M4:M52" si="0">L4*5</f>
        <v>30</v>
      </c>
      <c r="N4" s="28" t="s">
        <v>239</v>
      </c>
      <c r="O4" s="29">
        <v>0.27410000000000001</v>
      </c>
      <c r="P4" s="29">
        <f t="shared" ref="P4:P52" si="1">O4*J4</f>
        <v>2.7410000000000001</v>
      </c>
      <c r="Q4" s="29">
        <v>0.25609999999999999</v>
      </c>
      <c r="R4" s="102">
        <f t="shared" ref="R4:R52" si="2">Q4*K4</f>
        <v>8.9634999999999998</v>
      </c>
      <c r="S4" s="30"/>
      <c r="T4" s="3"/>
      <c r="U4" s="3"/>
    </row>
    <row r="5" spans="1:21" ht="26.25" thickBot="1" x14ac:dyDescent="0.3">
      <c r="A5" s="12">
        <v>3</v>
      </c>
      <c r="B5" s="123"/>
      <c r="C5" s="23" t="s">
        <v>85</v>
      </c>
      <c r="D5" s="24" t="s">
        <v>86</v>
      </c>
      <c r="E5" s="24" t="s">
        <v>103</v>
      </c>
      <c r="F5" s="24" t="s">
        <v>87</v>
      </c>
      <c r="G5" s="25" t="s">
        <v>209</v>
      </c>
      <c r="H5" s="26" t="s">
        <v>210</v>
      </c>
      <c r="I5" s="24" t="s">
        <v>21</v>
      </c>
      <c r="J5" s="24">
        <v>5</v>
      </c>
      <c r="K5" s="24">
        <v>20</v>
      </c>
      <c r="L5" s="27">
        <v>3</v>
      </c>
      <c r="M5" s="105">
        <f t="shared" si="0"/>
        <v>15</v>
      </c>
      <c r="N5" s="28" t="s">
        <v>262</v>
      </c>
      <c r="O5" s="29"/>
      <c r="P5" s="29">
        <f t="shared" si="1"/>
        <v>0</v>
      </c>
      <c r="Q5" s="29"/>
      <c r="R5" s="102">
        <f t="shared" si="2"/>
        <v>0</v>
      </c>
      <c r="S5" s="107" t="s">
        <v>276</v>
      </c>
      <c r="T5" s="3"/>
      <c r="U5" s="3"/>
    </row>
    <row r="6" spans="1:21" ht="15.75" thickBot="1" x14ac:dyDescent="0.3">
      <c r="A6" s="12">
        <v>4</v>
      </c>
      <c r="B6" s="123"/>
      <c r="C6" s="23" t="s">
        <v>88</v>
      </c>
      <c r="D6" s="24" t="s">
        <v>39</v>
      </c>
      <c r="E6" s="24" t="s">
        <v>79</v>
      </c>
      <c r="F6" s="24" t="s">
        <v>89</v>
      </c>
      <c r="G6" s="25" t="s">
        <v>205</v>
      </c>
      <c r="H6" s="26" t="s">
        <v>210</v>
      </c>
      <c r="I6" s="24" t="s">
        <v>40</v>
      </c>
      <c r="J6" s="24">
        <v>50</v>
      </c>
      <c r="K6" s="24">
        <v>50</v>
      </c>
      <c r="L6" s="27">
        <v>1</v>
      </c>
      <c r="M6" s="105">
        <f t="shared" si="0"/>
        <v>5</v>
      </c>
      <c r="N6" s="28" t="s">
        <v>239</v>
      </c>
      <c r="O6" s="29">
        <v>4.0000000000000001E-3</v>
      </c>
      <c r="P6" s="29">
        <f t="shared" si="1"/>
        <v>0.2</v>
      </c>
      <c r="Q6" s="29">
        <v>4.0000000000000001E-3</v>
      </c>
      <c r="R6" s="102">
        <f t="shared" si="2"/>
        <v>0.2</v>
      </c>
      <c r="S6" s="21"/>
      <c r="T6" s="3"/>
      <c r="U6" s="3"/>
    </row>
    <row r="7" spans="1:21" ht="15.75" thickBot="1" x14ac:dyDescent="0.3">
      <c r="A7" s="12">
        <v>5</v>
      </c>
      <c r="B7" s="123"/>
      <c r="C7" s="23" t="s">
        <v>90</v>
      </c>
      <c r="D7" s="24" t="s">
        <v>91</v>
      </c>
      <c r="E7" s="24" t="s">
        <v>79</v>
      </c>
      <c r="F7" s="24" t="s">
        <v>92</v>
      </c>
      <c r="G7" s="25" t="s">
        <v>205</v>
      </c>
      <c r="H7" s="26" t="s">
        <v>210</v>
      </c>
      <c r="I7" s="24" t="s">
        <v>19</v>
      </c>
      <c r="J7" s="24">
        <v>50</v>
      </c>
      <c r="K7" s="24">
        <v>50</v>
      </c>
      <c r="L7" s="27">
        <v>2</v>
      </c>
      <c r="M7" s="105">
        <f t="shared" si="0"/>
        <v>10</v>
      </c>
      <c r="N7" s="28" t="s">
        <v>239</v>
      </c>
      <c r="O7" s="29">
        <v>9.7000000000000003E-3</v>
      </c>
      <c r="P7" s="29">
        <f t="shared" si="1"/>
        <v>0.48499999999999999</v>
      </c>
      <c r="Q7" s="29">
        <v>9.7000000000000003E-3</v>
      </c>
      <c r="R7" s="102">
        <f t="shared" si="2"/>
        <v>0.48499999999999999</v>
      </c>
      <c r="S7" s="21"/>
      <c r="T7" s="3"/>
      <c r="U7" s="3"/>
    </row>
    <row r="8" spans="1:21" ht="15.75" thickBot="1" x14ac:dyDescent="0.3">
      <c r="A8" s="12">
        <v>6</v>
      </c>
      <c r="B8" s="123"/>
      <c r="C8" s="23" t="s">
        <v>93</v>
      </c>
      <c r="D8" s="24" t="s">
        <v>94</v>
      </c>
      <c r="E8" s="24" t="s">
        <v>95</v>
      </c>
      <c r="F8" s="31" t="s">
        <v>96</v>
      </c>
      <c r="G8" s="25" t="s">
        <v>63</v>
      </c>
      <c r="H8" s="26" t="s">
        <v>260</v>
      </c>
      <c r="I8" s="24" t="s">
        <v>75</v>
      </c>
      <c r="J8" s="24">
        <v>100</v>
      </c>
      <c r="K8" s="24">
        <v>100</v>
      </c>
      <c r="L8" s="27">
        <v>1</v>
      </c>
      <c r="M8" s="105">
        <f t="shared" si="0"/>
        <v>5</v>
      </c>
      <c r="N8" s="28" t="s">
        <v>239</v>
      </c>
      <c r="O8" s="29">
        <v>1.5E-3</v>
      </c>
      <c r="P8" s="29">
        <f t="shared" si="1"/>
        <v>0.15</v>
      </c>
      <c r="Q8" s="29">
        <v>1.5E-3</v>
      </c>
      <c r="R8" s="102">
        <f t="shared" si="2"/>
        <v>0.15</v>
      </c>
      <c r="S8" s="21"/>
      <c r="T8" s="3"/>
      <c r="U8" s="3"/>
    </row>
    <row r="9" spans="1:21" ht="15.75" thickBot="1" x14ac:dyDescent="0.3">
      <c r="A9" s="12">
        <v>7</v>
      </c>
      <c r="B9" s="123"/>
      <c r="C9" s="23" t="s">
        <v>97</v>
      </c>
      <c r="D9" s="24" t="s">
        <v>98</v>
      </c>
      <c r="E9" s="24" t="s">
        <v>79</v>
      </c>
      <c r="F9" s="24" t="s">
        <v>99</v>
      </c>
      <c r="G9" s="25" t="s">
        <v>205</v>
      </c>
      <c r="H9" s="26" t="s">
        <v>210</v>
      </c>
      <c r="I9" s="24" t="s">
        <v>21</v>
      </c>
      <c r="J9" s="24">
        <v>5</v>
      </c>
      <c r="K9" s="24">
        <v>15</v>
      </c>
      <c r="L9" s="27">
        <v>2</v>
      </c>
      <c r="M9" s="105">
        <f t="shared" si="0"/>
        <v>10</v>
      </c>
      <c r="N9" s="28" t="s">
        <v>239</v>
      </c>
      <c r="O9" s="29">
        <v>9.0300000000000005E-2</v>
      </c>
      <c r="P9" s="29">
        <f t="shared" si="1"/>
        <v>0.45150000000000001</v>
      </c>
      <c r="Q9" s="29">
        <v>9.0300000000000005E-2</v>
      </c>
      <c r="R9" s="102">
        <f t="shared" si="2"/>
        <v>1.3545</v>
      </c>
      <c r="S9" s="21"/>
      <c r="T9" s="3"/>
      <c r="U9" s="3"/>
    </row>
    <row r="10" spans="1:21" ht="15.75" thickBot="1" x14ac:dyDescent="0.3">
      <c r="A10" s="12">
        <v>8</v>
      </c>
      <c r="B10" s="124"/>
      <c r="C10" s="32" t="s">
        <v>100</v>
      </c>
      <c r="D10" s="33" t="s">
        <v>101</v>
      </c>
      <c r="E10" s="33" t="s">
        <v>79</v>
      </c>
      <c r="F10" s="90" t="s">
        <v>102</v>
      </c>
      <c r="G10" s="34" t="s">
        <v>61</v>
      </c>
      <c r="H10" s="35" t="s">
        <v>261</v>
      </c>
      <c r="I10" s="33" t="s">
        <v>76</v>
      </c>
      <c r="J10" s="33">
        <v>50</v>
      </c>
      <c r="K10" s="33">
        <v>50</v>
      </c>
      <c r="L10" s="36">
        <v>1</v>
      </c>
      <c r="M10" s="109">
        <f t="shared" si="0"/>
        <v>5</v>
      </c>
      <c r="N10" s="37" t="s">
        <v>239</v>
      </c>
      <c r="O10" s="38">
        <v>4.3E-3</v>
      </c>
      <c r="P10" s="38">
        <f t="shared" si="1"/>
        <v>0.215</v>
      </c>
      <c r="Q10" s="38">
        <v>4.3E-3</v>
      </c>
      <c r="R10" s="110">
        <f t="shared" si="2"/>
        <v>0.215</v>
      </c>
      <c r="S10" s="22"/>
      <c r="T10" s="3"/>
      <c r="U10" s="3"/>
    </row>
    <row r="11" spans="1:21" ht="15.75" thickBot="1" x14ac:dyDescent="0.3">
      <c r="A11" s="12">
        <v>9</v>
      </c>
      <c r="B11" s="123" t="s">
        <v>15</v>
      </c>
      <c r="C11" s="111" t="s">
        <v>241</v>
      </c>
      <c r="D11" s="39" t="s">
        <v>104</v>
      </c>
      <c r="E11" s="39" t="s">
        <v>22</v>
      </c>
      <c r="F11" s="39" t="s">
        <v>41</v>
      </c>
      <c r="G11" s="40" t="s">
        <v>240</v>
      </c>
      <c r="H11" s="112" t="s">
        <v>210</v>
      </c>
      <c r="I11" s="112" t="s">
        <v>210</v>
      </c>
      <c r="J11" s="112">
        <v>10</v>
      </c>
      <c r="K11" s="112">
        <v>10</v>
      </c>
      <c r="L11" s="113">
        <v>1</v>
      </c>
      <c r="M11" s="114">
        <f t="shared" si="0"/>
        <v>5</v>
      </c>
      <c r="N11" s="42" t="s">
        <v>239</v>
      </c>
      <c r="O11" s="43">
        <v>7.5499999999999998E-2</v>
      </c>
      <c r="P11" s="43">
        <f t="shared" si="1"/>
        <v>0.755</v>
      </c>
      <c r="Q11" s="43">
        <v>7.5499999999999998E-2</v>
      </c>
      <c r="R11" s="101">
        <f t="shared" si="2"/>
        <v>0.755</v>
      </c>
      <c r="S11" s="44"/>
      <c r="T11" s="3"/>
      <c r="U11" s="3"/>
    </row>
    <row r="12" spans="1:21" ht="15.75" thickBot="1" x14ac:dyDescent="0.3">
      <c r="A12" s="12">
        <v>10</v>
      </c>
      <c r="B12" s="123"/>
      <c r="C12" s="23" t="s">
        <v>105</v>
      </c>
      <c r="D12" s="24" t="s">
        <v>106</v>
      </c>
      <c r="E12" s="26" t="s">
        <v>242</v>
      </c>
      <c r="F12" s="24" t="s">
        <v>107</v>
      </c>
      <c r="G12" s="45" t="s">
        <v>243</v>
      </c>
      <c r="H12" s="26" t="s">
        <v>210</v>
      </c>
      <c r="I12" s="26" t="s">
        <v>210</v>
      </c>
      <c r="J12" s="26">
        <v>20</v>
      </c>
      <c r="K12" s="26">
        <v>20</v>
      </c>
      <c r="L12" s="27">
        <v>1</v>
      </c>
      <c r="M12" s="105">
        <f t="shared" si="0"/>
        <v>5</v>
      </c>
      <c r="N12" s="28" t="s">
        <v>239</v>
      </c>
      <c r="O12" s="29">
        <v>1.95E-2</v>
      </c>
      <c r="P12" s="29">
        <f t="shared" si="1"/>
        <v>0.39</v>
      </c>
      <c r="Q12" s="29">
        <v>1.95E-2</v>
      </c>
      <c r="R12" s="101">
        <f t="shared" si="2"/>
        <v>0.39</v>
      </c>
      <c r="S12" s="30"/>
      <c r="T12" s="3"/>
      <c r="U12" s="3"/>
    </row>
    <row r="13" spans="1:21" ht="15.75" thickBot="1" x14ac:dyDescent="0.3">
      <c r="A13" s="12">
        <v>11</v>
      </c>
      <c r="B13" s="123"/>
      <c r="C13" s="46" t="s">
        <v>108</v>
      </c>
      <c r="D13" s="47" t="s">
        <v>109</v>
      </c>
      <c r="E13" s="47" t="s">
        <v>212</v>
      </c>
      <c r="F13" s="47" t="s">
        <v>110</v>
      </c>
      <c r="G13" s="48" t="s">
        <v>211</v>
      </c>
      <c r="H13" s="49" t="s">
        <v>210</v>
      </c>
      <c r="I13" s="49" t="s">
        <v>210</v>
      </c>
      <c r="J13" s="49">
        <v>5</v>
      </c>
      <c r="K13" s="49">
        <v>15</v>
      </c>
      <c r="L13" s="115">
        <v>2</v>
      </c>
      <c r="M13" s="114">
        <f t="shared" si="0"/>
        <v>10</v>
      </c>
      <c r="N13" s="50" t="s">
        <v>239</v>
      </c>
      <c r="O13" s="51">
        <v>0.1087</v>
      </c>
      <c r="P13" s="51">
        <f t="shared" si="1"/>
        <v>0.54349999999999998</v>
      </c>
      <c r="Q13" s="51">
        <v>0.1087</v>
      </c>
      <c r="R13" s="116">
        <f t="shared" si="2"/>
        <v>1.6305000000000001</v>
      </c>
      <c r="S13" s="52"/>
      <c r="T13" s="3"/>
      <c r="U13" s="3"/>
    </row>
    <row r="14" spans="1:21" ht="15.75" thickBot="1" x14ac:dyDescent="0.3">
      <c r="A14" s="12">
        <v>12</v>
      </c>
      <c r="B14" s="122" t="s">
        <v>29</v>
      </c>
      <c r="C14" s="53" t="s">
        <v>111</v>
      </c>
      <c r="D14" s="54" t="s">
        <v>27</v>
      </c>
      <c r="E14" s="54" t="s">
        <v>112</v>
      </c>
      <c r="F14" s="54" t="s">
        <v>45</v>
      </c>
      <c r="G14" s="55" t="s">
        <v>244</v>
      </c>
      <c r="H14" s="54" t="s">
        <v>210</v>
      </c>
      <c r="I14" s="54" t="s">
        <v>30</v>
      </c>
      <c r="J14" s="54">
        <v>10</v>
      </c>
      <c r="K14" s="54">
        <v>10</v>
      </c>
      <c r="L14" s="56">
        <v>1</v>
      </c>
      <c r="M14" s="103">
        <f t="shared" si="0"/>
        <v>5</v>
      </c>
      <c r="N14" s="57" t="s">
        <v>239</v>
      </c>
      <c r="O14" s="58">
        <v>4.4900000000000002E-2</v>
      </c>
      <c r="P14" s="58">
        <f t="shared" si="1"/>
        <v>0.44900000000000001</v>
      </c>
      <c r="Q14" s="58">
        <v>4.4900000000000002E-2</v>
      </c>
      <c r="R14" s="5">
        <f t="shared" si="2"/>
        <v>0.44900000000000001</v>
      </c>
      <c r="S14" s="59"/>
      <c r="T14" s="3"/>
      <c r="U14" s="3"/>
    </row>
    <row r="15" spans="1:21" s="18" customFormat="1" ht="26.25" thickBot="1" x14ac:dyDescent="0.3">
      <c r="A15" s="12">
        <v>13</v>
      </c>
      <c r="B15" s="123"/>
      <c r="C15" s="60" t="s">
        <v>213</v>
      </c>
      <c r="D15" s="24" t="s">
        <v>28</v>
      </c>
      <c r="E15" s="24" t="s">
        <v>103</v>
      </c>
      <c r="F15" s="24" t="s">
        <v>113</v>
      </c>
      <c r="G15" s="25" t="s">
        <v>64</v>
      </c>
      <c r="H15" s="24" t="s">
        <v>210</v>
      </c>
      <c r="I15" s="24" t="s">
        <v>43</v>
      </c>
      <c r="J15" s="24">
        <v>2</v>
      </c>
      <c r="K15" s="24">
        <v>8</v>
      </c>
      <c r="L15" s="92">
        <v>1</v>
      </c>
      <c r="M15" s="105">
        <f t="shared" si="0"/>
        <v>5</v>
      </c>
      <c r="N15" s="93" t="s">
        <v>262</v>
      </c>
      <c r="O15" s="29"/>
      <c r="P15" s="29">
        <f t="shared" si="1"/>
        <v>0</v>
      </c>
      <c r="Q15" s="94"/>
      <c r="R15" s="101">
        <f t="shared" si="2"/>
        <v>0</v>
      </c>
      <c r="S15" s="107" t="s">
        <v>276</v>
      </c>
      <c r="T15" s="17"/>
      <c r="U15" s="17"/>
    </row>
    <row r="16" spans="1:21" ht="15.75" thickBot="1" x14ac:dyDescent="0.3">
      <c r="A16" s="12">
        <v>14</v>
      </c>
      <c r="B16" s="124"/>
      <c r="C16" s="61" t="s">
        <v>214</v>
      </c>
      <c r="D16" s="33" t="s">
        <v>42</v>
      </c>
      <c r="E16" s="33" t="s">
        <v>103</v>
      </c>
      <c r="F16" s="33" t="s">
        <v>114</v>
      </c>
      <c r="G16" s="34" t="s">
        <v>215</v>
      </c>
      <c r="H16" s="33" t="s">
        <v>210</v>
      </c>
      <c r="I16" s="33" t="s">
        <v>44</v>
      </c>
      <c r="J16" s="33">
        <v>5</v>
      </c>
      <c r="K16" s="33">
        <v>10</v>
      </c>
      <c r="L16" s="62">
        <v>1</v>
      </c>
      <c r="M16" s="109">
        <f t="shared" si="0"/>
        <v>5</v>
      </c>
      <c r="N16" s="37" t="s">
        <v>239</v>
      </c>
      <c r="O16" s="38">
        <v>7.0300000000000001E-2</v>
      </c>
      <c r="P16" s="38">
        <f t="shared" si="1"/>
        <v>0.35150000000000003</v>
      </c>
      <c r="Q16" s="38">
        <v>7.0300000000000001E-2</v>
      </c>
      <c r="R16" s="110">
        <f t="shared" si="2"/>
        <v>0.70300000000000007</v>
      </c>
      <c r="S16" s="22"/>
      <c r="T16" s="3"/>
      <c r="U16" s="3"/>
    </row>
    <row r="17" spans="1:21" ht="15.75" thickBot="1" x14ac:dyDescent="0.3">
      <c r="A17" s="12">
        <v>15</v>
      </c>
      <c r="B17" s="123" t="s">
        <v>69</v>
      </c>
      <c r="C17" s="63" t="s">
        <v>115</v>
      </c>
      <c r="D17" s="39" t="s">
        <v>116</v>
      </c>
      <c r="E17" s="39" t="s">
        <v>117</v>
      </c>
      <c r="F17" s="39" t="s">
        <v>118</v>
      </c>
      <c r="G17" s="39" t="s">
        <v>245</v>
      </c>
      <c r="H17" s="39" t="s">
        <v>210</v>
      </c>
      <c r="I17" s="39" t="s">
        <v>210</v>
      </c>
      <c r="J17" s="39">
        <v>50</v>
      </c>
      <c r="K17" s="39">
        <v>50</v>
      </c>
      <c r="L17" s="64">
        <v>4</v>
      </c>
      <c r="M17" s="104">
        <f t="shared" si="0"/>
        <v>20</v>
      </c>
      <c r="N17" s="42" t="s">
        <v>239</v>
      </c>
      <c r="O17" s="43">
        <v>1.52E-2</v>
      </c>
      <c r="P17" s="43">
        <f t="shared" si="1"/>
        <v>0.76</v>
      </c>
      <c r="Q17" s="43">
        <v>1.52E-2</v>
      </c>
      <c r="R17" s="101">
        <f t="shared" si="2"/>
        <v>0.76</v>
      </c>
      <c r="S17" s="65"/>
      <c r="T17" s="3"/>
      <c r="U17" s="3"/>
    </row>
    <row r="18" spans="1:21" ht="15.75" thickBot="1" x14ac:dyDescent="0.3">
      <c r="A18" s="12">
        <v>16</v>
      </c>
      <c r="B18" s="123"/>
      <c r="C18" s="46" t="s">
        <v>119</v>
      </c>
      <c r="D18" s="47" t="s">
        <v>120</v>
      </c>
      <c r="E18" s="47" t="s">
        <v>121</v>
      </c>
      <c r="F18" s="49" t="s">
        <v>273</v>
      </c>
      <c r="G18" s="47" t="s">
        <v>254</v>
      </c>
      <c r="H18" s="49" t="s">
        <v>210</v>
      </c>
      <c r="I18" s="66" t="s">
        <v>255</v>
      </c>
      <c r="J18" s="66">
        <v>50</v>
      </c>
      <c r="K18" s="66">
        <v>50</v>
      </c>
      <c r="L18" s="67">
        <v>4</v>
      </c>
      <c r="M18" s="103">
        <f t="shared" si="0"/>
        <v>20</v>
      </c>
      <c r="N18" s="50" t="s">
        <v>239</v>
      </c>
      <c r="O18" s="51">
        <v>8.6E-3</v>
      </c>
      <c r="P18" s="51">
        <f t="shared" si="1"/>
        <v>0.43</v>
      </c>
      <c r="Q18" s="51">
        <v>8.6E-3</v>
      </c>
      <c r="R18" s="116">
        <f t="shared" si="2"/>
        <v>0.43</v>
      </c>
      <c r="S18" s="117"/>
      <c r="T18" s="3"/>
      <c r="U18" s="3"/>
    </row>
    <row r="19" spans="1:21" ht="26.25" thickBot="1" x14ac:dyDescent="0.3">
      <c r="A19" s="12">
        <v>17</v>
      </c>
      <c r="B19" s="122" t="s">
        <v>26</v>
      </c>
      <c r="C19" s="53" t="s">
        <v>122</v>
      </c>
      <c r="D19" s="54" t="s">
        <v>123</v>
      </c>
      <c r="E19" s="68" t="s">
        <v>216</v>
      </c>
      <c r="F19" s="54" t="s">
        <v>46</v>
      </c>
      <c r="G19" s="55" t="s">
        <v>66</v>
      </c>
      <c r="H19" s="106" t="s">
        <v>210</v>
      </c>
      <c r="I19" s="106" t="s">
        <v>210</v>
      </c>
      <c r="J19" s="54">
        <v>10</v>
      </c>
      <c r="K19" s="54">
        <v>10</v>
      </c>
      <c r="L19" s="69">
        <v>1</v>
      </c>
      <c r="M19" s="103">
        <f t="shared" si="0"/>
        <v>5</v>
      </c>
      <c r="N19" s="57" t="s">
        <v>239</v>
      </c>
      <c r="O19" s="58">
        <v>6.2300000000000001E-2</v>
      </c>
      <c r="P19" s="58">
        <f t="shared" si="1"/>
        <v>0.623</v>
      </c>
      <c r="Q19" s="58">
        <v>6.2300000000000001E-2</v>
      </c>
      <c r="R19" s="5">
        <f t="shared" si="2"/>
        <v>0.623</v>
      </c>
      <c r="S19" s="10"/>
      <c r="T19" s="3"/>
      <c r="U19" s="3"/>
    </row>
    <row r="20" spans="1:21" ht="26.25" thickBot="1" x14ac:dyDescent="0.3">
      <c r="A20" s="12">
        <v>18</v>
      </c>
      <c r="B20" s="123"/>
      <c r="C20" s="23" t="s">
        <v>124</v>
      </c>
      <c r="D20" s="24" t="s">
        <v>263</v>
      </c>
      <c r="E20" s="24" t="s">
        <v>57</v>
      </c>
      <c r="F20" s="24" t="s">
        <v>58</v>
      </c>
      <c r="G20" s="25" t="s">
        <v>246</v>
      </c>
      <c r="H20" s="24" t="s">
        <v>210</v>
      </c>
      <c r="I20" s="24" t="s">
        <v>210</v>
      </c>
      <c r="J20" s="39">
        <v>10</v>
      </c>
      <c r="K20" s="39">
        <v>10</v>
      </c>
      <c r="L20" s="27">
        <v>1</v>
      </c>
      <c r="M20" s="105">
        <f t="shared" si="0"/>
        <v>5</v>
      </c>
      <c r="N20" s="28" t="s">
        <v>239</v>
      </c>
      <c r="O20" s="29">
        <v>6.1499999999999999E-2</v>
      </c>
      <c r="P20" s="29">
        <f t="shared" si="1"/>
        <v>0.61499999999999999</v>
      </c>
      <c r="Q20" s="29">
        <v>6.1499999999999999E-2</v>
      </c>
      <c r="R20" s="101">
        <f t="shared" si="2"/>
        <v>0.61499999999999999</v>
      </c>
      <c r="S20" s="11"/>
      <c r="T20" s="3"/>
      <c r="U20" s="3"/>
    </row>
    <row r="21" spans="1:21" ht="26.25" thickBot="1" x14ac:dyDescent="0.3">
      <c r="A21" s="12">
        <v>19</v>
      </c>
      <c r="B21" s="124"/>
      <c r="C21" s="32" t="s">
        <v>125</v>
      </c>
      <c r="D21" s="33" t="s">
        <v>126</v>
      </c>
      <c r="E21" s="35" t="s">
        <v>217</v>
      </c>
      <c r="F21" s="33" t="s">
        <v>127</v>
      </c>
      <c r="G21" s="34" t="s">
        <v>211</v>
      </c>
      <c r="H21" s="33" t="s">
        <v>210</v>
      </c>
      <c r="I21" s="33" t="s">
        <v>210</v>
      </c>
      <c r="J21" s="33">
        <v>2</v>
      </c>
      <c r="K21" s="33">
        <v>8</v>
      </c>
      <c r="L21" s="36">
        <v>1</v>
      </c>
      <c r="M21" s="109">
        <f t="shared" si="0"/>
        <v>5</v>
      </c>
      <c r="N21" s="37" t="s">
        <v>262</v>
      </c>
      <c r="O21" s="38"/>
      <c r="P21" s="38">
        <f t="shared" si="1"/>
        <v>0</v>
      </c>
      <c r="Q21" s="38"/>
      <c r="R21" s="110">
        <f t="shared" si="2"/>
        <v>0</v>
      </c>
      <c r="S21" s="118" t="s">
        <v>276</v>
      </c>
      <c r="T21" s="3"/>
      <c r="U21" s="3"/>
    </row>
    <row r="22" spans="1:21" ht="15.75" thickBot="1" x14ac:dyDescent="0.3">
      <c r="A22" s="12">
        <v>20</v>
      </c>
      <c r="B22" s="122" t="s">
        <v>16</v>
      </c>
      <c r="C22" s="53" t="s">
        <v>128</v>
      </c>
      <c r="D22" s="54" t="s">
        <v>129</v>
      </c>
      <c r="E22" s="54" t="s">
        <v>130</v>
      </c>
      <c r="F22" s="54" t="s">
        <v>131</v>
      </c>
      <c r="G22" s="55" t="s">
        <v>62</v>
      </c>
      <c r="H22" s="54" t="s">
        <v>210</v>
      </c>
      <c r="I22" s="54" t="s">
        <v>50</v>
      </c>
      <c r="J22" s="54">
        <v>100</v>
      </c>
      <c r="K22" s="54">
        <v>100</v>
      </c>
      <c r="L22" s="69">
        <v>5</v>
      </c>
      <c r="M22" s="103">
        <f t="shared" si="0"/>
        <v>25</v>
      </c>
      <c r="N22" s="57" t="s">
        <v>239</v>
      </c>
      <c r="O22" s="58">
        <v>1.1999999999999999E-3</v>
      </c>
      <c r="P22" s="58">
        <f t="shared" si="1"/>
        <v>0.12</v>
      </c>
      <c r="Q22" s="58">
        <v>1.1999999999999999E-3</v>
      </c>
      <c r="R22" s="5">
        <f t="shared" si="2"/>
        <v>0.12</v>
      </c>
      <c r="S22" s="70"/>
      <c r="T22" s="3"/>
      <c r="U22" s="3"/>
    </row>
    <row r="23" spans="1:21" ht="15.75" thickBot="1" x14ac:dyDescent="0.3">
      <c r="A23" s="12">
        <v>21</v>
      </c>
      <c r="B23" s="123"/>
      <c r="C23" s="23" t="s">
        <v>132</v>
      </c>
      <c r="D23" s="24" t="s">
        <v>133</v>
      </c>
      <c r="E23" s="24" t="s">
        <v>130</v>
      </c>
      <c r="F23" s="24" t="s">
        <v>134</v>
      </c>
      <c r="G23" s="25" t="s">
        <v>62</v>
      </c>
      <c r="H23" s="24" t="s">
        <v>210</v>
      </c>
      <c r="I23" s="24" t="s">
        <v>6</v>
      </c>
      <c r="J23" s="24">
        <v>100</v>
      </c>
      <c r="K23" s="24">
        <v>100</v>
      </c>
      <c r="L23" s="27">
        <v>6</v>
      </c>
      <c r="M23" s="105">
        <f t="shared" si="0"/>
        <v>30</v>
      </c>
      <c r="N23" s="28" t="s">
        <v>239</v>
      </c>
      <c r="O23" s="29">
        <v>1.1000000000000001E-3</v>
      </c>
      <c r="P23" s="29">
        <f t="shared" si="1"/>
        <v>0.11</v>
      </c>
      <c r="Q23" s="29">
        <v>1.1000000000000001E-3</v>
      </c>
      <c r="R23" s="101">
        <f t="shared" si="2"/>
        <v>0.11</v>
      </c>
      <c r="S23" s="21"/>
      <c r="T23" s="3"/>
      <c r="U23" s="3"/>
    </row>
    <row r="24" spans="1:21" ht="15.75" thickBot="1" x14ac:dyDescent="0.3">
      <c r="A24" s="12">
        <v>22</v>
      </c>
      <c r="B24" s="123"/>
      <c r="C24" s="23" t="s">
        <v>135</v>
      </c>
      <c r="D24" s="24" t="s">
        <v>23</v>
      </c>
      <c r="E24" s="24" t="s">
        <v>130</v>
      </c>
      <c r="F24" s="31" t="s">
        <v>136</v>
      </c>
      <c r="G24" s="25" t="s">
        <v>218</v>
      </c>
      <c r="H24" s="24" t="s">
        <v>259</v>
      </c>
      <c r="I24" s="24" t="s">
        <v>163</v>
      </c>
      <c r="J24" s="24">
        <v>50</v>
      </c>
      <c r="K24" s="24">
        <v>50</v>
      </c>
      <c r="L24" s="27">
        <v>1</v>
      </c>
      <c r="M24" s="105">
        <f t="shared" si="0"/>
        <v>5</v>
      </c>
      <c r="N24" s="28" t="s">
        <v>239</v>
      </c>
      <c r="O24" s="29">
        <v>9.1999999999999998E-3</v>
      </c>
      <c r="P24" s="29">
        <f t="shared" si="1"/>
        <v>0.45999999999999996</v>
      </c>
      <c r="Q24" s="29">
        <v>9.1999999999999998E-3</v>
      </c>
      <c r="R24" s="101">
        <f t="shared" si="2"/>
        <v>0.45999999999999996</v>
      </c>
      <c r="S24" s="21"/>
      <c r="T24" s="3"/>
      <c r="U24" s="3"/>
    </row>
    <row r="25" spans="1:21" ht="15.75" thickBot="1" x14ac:dyDescent="0.3">
      <c r="A25" s="12">
        <v>23</v>
      </c>
      <c r="B25" s="123"/>
      <c r="C25" s="23" t="s">
        <v>137</v>
      </c>
      <c r="D25" s="24" t="s">
        <v>47</v>
      </c>
      <c r="E25" s="24" t="s">
        <v>130</v>
      </c>
      <c r="F25" s="24" t="s">
        <v>138</v>
      </c>
      <c r="G25" s="25" t="s">
        <v>62</v>
      </c>
      <c r="H25" s="24" t="s">
        <v>210</v>
      </c>
      <c r="I25" s="24" t="s">
        <v>164</v>
      </c>
      <c r="J25" s="24">
        <v>100</v>
      </c>
      <c r="K25" s="24">
        <v>100</v>
      </c>
      <c r="L25" s="27">
        <v>1</v>
      </c>
      <c r="M25" s="105">
        <f t="shared" si="0"/>
        <v>5</v>
      </c>
      <c r="N25" s="28" t="s">
        <v>239</v>
      </c>
      <c r="O25" s="29">
        <v>1.1000000000000001E-3</v>
      </c>
      <c r="P25" s="29">
        <f t="shared" si="1"/>
        <v>0.11</v>
      </c>
      <c r="Q25" s="29">
        <v>1.1000000000000001E-3</v>
      </c>
      <c r="R25" s="101">
        <f t="shared" si="2"/>
        <v>0.11</v>
      </c>
      <c r="S25" s="30"/>
      <c r="T25" s="3"/>
      <c r="U25" s="3"/>
    </row>
    <row r="26" spans="1:21" ht="15.75" thickBot="1" x14ac:dyDescent="0.3">
      <c r="A26" s="12">
        <v>24</v>
      </c>
      <c r="B26" s="123"/>
      <c r="C26" s="23" t="s">
        <v>139</v>
      </c>
      <c r="D26" s="24" t="s">
        <v>140</v>
      </c>
      <c r="E26" s="24" t="s">
        <v>130</v>
      </c>
      <c r="F26" s="24" t="s">
        <v>141</v>
      </c>
      <c r="G26" s="25" t="s">
        <v>62</v>
      </c>
      <c r="H26" s="24" t="s">
        <v>210</v>
      </c>
      <c r="I26" s="24" t="s">
        <v>25</v>
      </c>
      <c r="J26" s="24">
        <v>100</v>
      </c>
      <c r="K26" s="24">
        <v>100</v>
      </c>
      <c r="L26" s="27">
        <v>7</v>
      </c>
      <c r="M26" s="105">
        <f t="shared" si="0"/>
        <v>35</v>
      </c>
      <c r="N26" s="28" t="s">
        <v>239</v>
      </c>
      <c r="O26" s="29">
        <v>1.4E-3</v>
      </c>
      <c r="P26" s="29">
        <f t="shared" si="1"/>
        <v>0.13999999999999999</v>
      </c>
      <c r="Q26" s="29">
        <v>1.4E-3</v>
      </c>
      <c r="R26" s="101">
        <f t="shared" si="2"/>
        <v>0.13999999999999999</v>
      </c>
      <c r="S26" s="21"/>
      <c r="T26" s="3"/>
      <c r="U26" s="3"/>
    </row>
    <row r="27" spans="1:21" ht="15.75" thickBot="1" x14ac:dyDescent="0.3">
      <c r="A27" s="12">
        <v>25</v>
      </c>
      <c r="B27" s="123"/>
      <c r="C27" s="23" t="s">
        <v>142</v>
      </c>
      <c r="D27" s="24" t="s">
        <v>143</v>
      </c>
      <c r="E27" s="24" t="s">
        <v>144</v>
      </c>
      <c r="F27" s="24" t="s">
        <v>145</v>
      </c>
      <c r="G27" s="25" t="s">
        <v>62</v>
      </c>
      <c r="H27" s="24" t="s">
        <v>210</v>
      </c>
      <c r="I27" s="24" t="s">
        <v>165</v>
      </c>
      <c r="J27" s="24">
        <v>5</v>
      </c>
      <c r="K27" s="24">
        <v>10</v>
      </c>
      <c r="L27" s="27">
        <v>1</v>
      </c>
      <c r="M27" s="105">
        <f t="shared" si="0"/>
        <v>5</v>
      </c>
      <c r="N27" s="28" t="s">
        <v>239</v>
      </c>
      <c r="O27" s="29">
        <v>0.1472</v>
      </c>
      <c r="P27" s="29">
        <f t="shared" si="1"/>
        <v>0.73599999999999999</v>
      </c>
      <c r="Q27" s="29">
        <v>0.1472</v>
      </c>
      <c r="R27" s="101">
        <f t="shared" si="2"/>
        <v>1.472</v>
      </c>
      <c r="S27" s="30"/>
      <c r="T27" s="3"/>
      <c r="U27" s="3"/>
    </row>
    <row r="28" spans="1:21" ht="15.75" thickBot="1" x14ac:dyDescent="0.3">
      <c r="A28" s="12">
        <v>26</v>
      </c>
      <c r="B28" s="123"/>
      <c r="C28" s="23" t="s">
        <v>146</v>
      </c>
      <c r="D28" s="24" t="s">
        <v>24</v>
      </c>
      <c r="E28" s="24" t="s">
        <v>130</v>
      </c>
      <c r="F28" s="24" t="s">
        <v>147</v>
      </c>
      <c r="G28" s="25" t="s">
        <v>219</v>
      </c>
      <c r="H28" s="24" t="s">
        <v>210</v>
      </c>
      <c r="I28" s="24" t="s">
        <v>52</v>
      </c>
      <c r="J28" s="24">
        <v>50</v>
      </c>
      <c r="K28" s="24">
        <v>50</v>
      </c>
      <c r="L28" s="27">
        <v>1</v>
      </c>
      <c r="M28" s="105">
        <f t="shared" si="0"/>
        <v>5</v>
      </c>
      <c r="N28" s="28" t="s">
        <v>239</v>
      </c>
      <c r="O28" s="29">
        <v>8.3999999999999995E-3</v>
      </c>
      <c r="P28" s="29">
        <f t="shared" si="1"/>
        <v>0.42</v>
      </c>
      <c r="Q28" s="29">
        <v>8.3999999999999995E-3</v>
      </c>
      <c r="R28" s="101">
        <f t="shared" si="2"/>
        <v>0.42</v>
      </c>
      <c r="S28" s="21"/>
      <c r="T28" s="3"/>
      <c r="U28" s="3"/>
    </row>
    <row r="29" spans="1:21" ht="15.75" thickBot="1" x14ac:dyDescent="0.3">
      <c r="A29" s="12">
        <v>27</v>
      </c>
      <c r="B29" s="123"/>
      <c r="C29" s="60" t="s">
        <v>220</v>
      </c>
      <c r="D29" s="24" t="s">
        <v>48</v>
      </c>
      <c r="E29" s="24" t="s">
        <v>130</v>
      </c>
      <c r="F29" s="24" t="s">
        <v>148</v>
      </c>
      <c r="G29" s="25" t="s">
        <v>62</v>
      </c>
      <c r="H29" s="24" t="s">
        <v>210</v>
      </c>
      <c r="I29" s="24" t="s">
        <v>51</v>
      </c>
      <c r="J29" s="24">
        <v>100</v>
      </c>
      <c r="K29" s="24">
        <v>100</v>
      </c>
      <c r="L29" s="27">
        <v>1</v>
      </c>
      <c r="M29" s="105">
        <f t="shared" si="0"/>
        <v>5</v>
      </c>
      <c r="N29" s="28" t="s">
        <v>239</v>
      </c>
      <c r="O29" s="29">
        <v>2.5999999999999999E-3</v>
      </c>
      <c r="P29" s="29">
        <f t="shared" si="1"/>
        <v>0.26</v>
      </c>
      <c r="Q29" s="29">
        <v>2.5999999999999999E-3</v>
      </c>
      <c r="R29" s="101">
        <f t="shared" si="2"/>
        <v>0.26</v>
      </c>
      <c r="S29" s="21"/>
      <c r="T29" s="3"/>
      <c r="U29" s="3"/>
    </row>
    <row r="30" spans="1:21" ht="15.75" thickBot="1" x14ac:dyDescent="0.3">
      <c r="A30" s="12">
        <v>28</v>
      </c>
      <c r="B30" s="123"/>
      <c r="C30" s="23" t="s">
        <v>149</v>
      </c>
      <c r="D30" s="24" t="s">
        <v>150</v>
      </c>
      <c r="E30" s="24" t="s">
        <v>130</v>
      </c>
      <c r="F30" s="24" t="s">
        <v>151</v>
      </c>
      <c r="G30" s="25" t="s">
        <v>62</v>
      </c>
      <c r="H30" s="24" t="s">
        <v>210</v>
      </c>
      <c r="I30" s="24" t="s">
        <v>53</v>
      </c>
      <c r="J30" s="24">
        <v>100</v>
      </c>
      <c r="K30" s="24">
        <v>100</v>
      </c>
      <c r="L30" s="27">
        <v>3</v>
      </c>
      <c r="M30" s="105">
        <f t="shared" si="0"/>
        <v>15</v>
      </c>
      <c r="N30" s="28" t="s">
        <v>239</v>
      </c>
      <c r="O30" s="29">
        <v>1.2999999999999999E-3</v>
      </c>
      <c r="P30" s="29">
        <f t="shared" si="1"/>
        <v>0.13</v>
      </c>
      <c r="Q30" s="29">
        <v>1.2999999999999999E-3</v>
      </c>
      <c r="R30" s="101">
        <f t="shared" si="2"/>
        <v>0.13</v>
      </c>
      <c r="S30" s="21"/>
      <c r="T30" s="3"/>
      <c r="U30" s="3"/>
    </row>
    <row r="31" spans="1:21" ht="15.75" thickBot="1" x14ac:dyDescent="0.3">
      <c r="A31" s="12">
        <v>29</v>
      </c>
      <c r="B31" s="123"/>
      <c r="C31" s="23" t="s">
        <v>152</v>
      </c>
      <c r="D31" s="24" t="s">
        <v>49</v>
      </c>
      <c r="E31" s="24" t="s">
        <v>130</v>
      </c>
      <c r="F31" s="24" t="s">
        <v>153</v>
      </c>
      <c r="G31" s="25" t="s">
        <v>62</v>
      </c>
      <c r="H31" s="24" t="s">
        <v>210</v>
      </c>
      <c r="I31" s="24" t="s">
        <v>166</v>
      </c>
      <c r="J31" s="24">
        <v>100</v>
      </c>
      <c r="K31" s="24">
        <v>100</v>
      </c>
      <c r="L31" s="27">
        <v>1</v>
      </c>
      <c r="M31" s="105">
        <f t="shared" si="0"/>
        <v>5</v>
      </c>
      <c r="N31" s="28" t="s">
        <v>239</v>
      </c>
      <c r="O31" s="29">
        <v>1.5E-3</v>
      </c>
      <c r="P31" s="29">
        <f t="shared" si="1"/>
        <v>0.15</v>
      </c>
      <c r="Q31" s="29">
        <v>1.5E-3</v>
      </c>
      <c r="R31" s="101">
        <f t="shared" si="2"/>
        <v>0.15</v>
      </c>
      <c r="S31" s="21"/>
      <c r="T31" s="3"/>
      <c r="U31" s="3"/>
    </row>
    <row r="32" spans="1:21" s="96" customFormat="1" ht="15.75" thickBot="1" x14ac:dyDescent="0.3">
      <c r="A32" s="12">
        <v>30</v>
      </c>
      <c r="B32" s="123"/>
      <c r="C32" s="60" t="s">
        <v>264</v>
      </c>
      <c r="D32" s="26" t="s">
        <v>265</v>
      </c>
      <c r="E32" s="26" t="s">
        <v>130</v>
      </c>
      <c r="F32" s="26" t="s">
        <v>266</v>
      </c>
      <c r="G32" s="25" t="s">
        <v>268</v>
      </c>
      <c r="H32" s="24" t="s">
        <v>210</v>
      </c>
      <c r="I32" s="26" t="s">
        <v>267</v>
      </c>
      <c r="J32" s="26">
        <v>10</v>
      </c>
      <c r="K32" s="26">
        <v>50</v>
      </c>
      <c r="L32" s="86">
        <v>8</v>
      </c>
      <c r="M32" s="105">
        <f t="shared" si="0"/>
        <v>40</v>
      </c>
      <c r="N32" s="28" t="s">
        <v>239</v>
      </c>
      <c r="O32" s="29">
        <v>3.5000000000000003E-2</v>
      </c>
      <c r="P32" s="29">
        <f t="shared" si="1"/>
        <v>0.35000000000000003</v>
      </c>
      <c r="Q32" s="29">
        <v>3.5000000000000003E-2</v>
      </c>
      <c r="R32" s="101">
        <f t="shared" si="2"/>
        <v>1.7500000000000002</v>
      </c>
      <c r="S32" s="21"/>
      <c r="T32" s="95"/>
      <c r="U32" s="95"/>
    </row>
    <row r="33" spans="1:21" ht="15.75" thickBot="1" x14ac:dyDescent="0.3">
      <c r="A33" s="12">
        <v>31</v>
      </c>
      <c r="B33" s="123"/>
      <c r="C33" s="60" t="s">
        <v>221</v>
      </c>
      <c r="D33" s="24" t="s">
        <v>154</v>
      </c>
      <c r="E33" s="24" t="s">
        <v>130</v>
      </c>
      <c r="F33" s="24" t="s">
        <v>155</v>
      </c>
      <c r="G33" s="25" t="s">
        <v>219</v>
      </c>
      <c r="H33" s="24" t="s">
        <v>210</v>
      </c>
      <c r="I33" s="24" t="s">
        <v>167</v>
      </c>
      <c r="J33" s="24">
        <v>10</v>
      </c>
      <c r="K33" s="24">
        <v>10</v>
      </c>
      <c r="L33" s="27">
        <v>1</v>
      </c>
      <c r="M33" s="105">
        <f t="shared" si="0"/>
        <v>5</v>
      </c>
      <c r="N33" s="28" t="s">
        <v>239</v>
      </c>
      <c r="O33" s="29">
        <v>3.5700000000000003E-2</v>
      </c>
      <c r="P33" s="29">
        <f t="shared" si="1"/>
        <v>0.35700000000000004</v>
      </c>
      <c r="Q33" s="29">
        <v>3.5700000000000003E-2</v>
      </c>
      <c r="R33" s="101">
        <f t="shared" si="2"/>
        <v>0.35700000000000004</v>
      </c>
      <c r="S33" s="21"/>
      <c r="T33" s="3"/>
      <c r="U33" s="3"/>
    </row>
    <row r="34" spans="1:21" ht="15.75" thickBot="1" x14ac:dyDescent="0.3">
      <c r="A34" s="12">
        <v>32</v>
      </c>
      <c r="B34" s="123"/>
      <c r="C34" s="23" t="s">
        <v>156</v>
      </c>
      <c r="D34" s="24" t="s">
        <v>157</v>
      </c>
      <c r="E34" s="24" t="s">
        <v>130</v>
      </c>
      <c r="F34" s="25" t="s">
        <v>158</v>
      </c>
      <c r="G34" s="25" t="s">
        <v>62</v>
      </c>
      <c r="H34" s="24" t="s">
        <v>210</v>
      </c>
      <c r="I34" s="24" t="s">
        <v>168</v>
      </c>
      <c r="J34" s="24">
        <v>100</v>
      </c>
      <c r="K34" s="24">
        <v>100</v>
      </c>
      <c r="L34" s="27">
        <v>1</v>
      </c>
      <c r="M34" s="105">
        <f t="shared" si="0"/>
        <v>5</v>
      </c>
      <c r="N34" s="28" t="s">
        <v>239</v>
      </c>
      <c r="O34" s="29">
        <v>2.5000000000000001E-3</v>
      </c>
      <c r="P34" s="29">
        <f t="shared" si="1"/>
        <v>0.25</v>
      </c>
      <c r="Q34" s="29">
        <v>2.5000000000000001E-3</v>
      </c>
      <c r="R34" s="101">
        <f t="shared" si="2"/>
        <v>0.25</v>
      </c>
      <c r="S34" s="21"/>
      <c r="T34" s="3"/>
      <c r="U34" s="3"/>
    </row>
    <row r="35" spans="1:21" ht="15.75" thickBot="1" x14ac:dyDescent="0.3">
      <c r="A35" s="12">
        <v>33</v>
      </c>
      <c r="B35" s="124"/>
      <c r="C35" s="32" t="s">
        <v>159</v>
      </c>
      <c r="D35" s="33" t="s">
        <v>160</v>
      </c>
      <c r="E35" s="33" t="s">
        <v>161</v>
      </c>
      <c r="F35" s="33" t="s">
        <v>162</v>
      </c>
      <c r="G35" s="34" t="s">
        <v>219</v>
      </c>
      <c r="H35" s="71" t="s">
        <v>210</v>
      </c>
      <c r="I35" s="33" t="s">
        <v>169</v>
      </c>
      <c r="J35" s="33">
        <v>10</v>
      </c>
      <c r="K35" s="33">
        <v>30</v>
      </c>
      <c r="L35" s="36">
        <v>4</v>
      </c>
      <c r="M35" s="109">
        <f t="shared" si="0"/>
        <v>20</v>
      </c>
      <c r="N35" s="37" t="s">
        <v>239</v>
      </c>
      <c r="O35" s="38">
        <v>6.6000000000000003E-2</v>
      </c>
      <c r="P35" s="38">
        <f t="shared" si="1"/>
        <v>0.66</v>
      </c>
      <c r="Q35" s="38">
        <v>6.6000000000000003E-2</v>
      </c>
      <c r="R35" s="110">
        <f t="shared" si="2"/>
        <v>1.98</v>
      </c>
      <c r="S35" s="22"/>
      <c r="T35" s="3"/>
      <c r="U35" s="3"/>
    </row>
    <row r="36" spans="1:21" ht="26.25" thickBot="1" x14ac:dyDescent="0.3">
      <c r="A36" s="12">
        <v>34</v>
      </c>
      <c r="B36" s="123" t="s">
        <v>70</v>
      </c>
      <c r="C36" s="63" t="s">
        <v>170</v>
      </c>
      <c r="D36" s="39" t="s">
        <v>171</v>
      </c>
      <c r="E36" s="39" t="s">
        <v>103</v>
      </c>
      <c r="F36" s="39" t="s">
        <v>172</v>
      </c>
      <c r="G36" s="40" t="s">
        <v>247</v>
      </c>
      <c r="H36" s="72" t="s">
        <v>210</v>
      </c>
      <c r="I36" s="72" t="s">
        <v>210</v>
      </c>
      <c r="J36" s="72">
        <v>10</v>
      </c>
      <c r="K36" s="72">
        <v>10</v>
      </c>
      <c r="L36" s="41">
        <v>1</v>
      </c>
      <c r="M36" s="104">
        <f t="shared" si="0"/>
        <v>5</v>
      </c>
      <c r="N36" s="42" t="s">
        <v>239</v>
      </c>
      <c r="O36" s="43">
        <v>5.1799999999999999E-2</v>
      </c>
      <c r="P36" s="43">
        <f t="shared" si="1"/>
        <v>0.51800000000000002</v>
      </c>
      <c r="Q36" s="43">
        <v>5.1799999999999999E-2</v>
      </c>
      <c r="R36" s="101">
        <f t="shared" si="2"/>
        <v>0.51800000000000002</v>
      </c>
      <c r="S36" s="44"/>
      <c r="T36" s="3"/>
      <c r="U36" s="3"/>
    </row>
    <row r="37" spans="1:21" ht="15.75" thickBot="1" x14ac:dyDescent="0.3">
      <c r="A37" s="12">
        <v>35</v>
      </c>
      <c r="B37" s="123"/>
      <c r="C37" s="73" t="s">
        <v>222</v>
      </c>
      <c r="D37" s="47" t="s">
        <v>173</v>
      </c>
      <c r="E37" s="47" t="s">
        <v>103</v>
      </c>
      <c r="F37" s="47" t="s">
        <v>54</v>
      </c>
      <c r="G37" s="48" t="s">
        <v>223</v>
      </c>
      <c r="H37" s="47" t="s">
        <v>210</v>
      </c>
      <c r="I37" s="47" t="s">
        <v>210</v>
      </c>
      <c r="J37" s="47">
        <v>2</v>
      </c>
      <c r="K37" s="47">
        <v>10</v>
      </c>
      <c r="L37" s="74">
        <v>1</v>
      </c>
      <c r="M37" s="103">
        <f t="shared" si="0"/>
        <v>5</v>
      </c>
      <c r="N37" s="50" t="s">
        <v>277</v>
      </c>
      <c r="O37" s="51">
        <v>0.105085</v>
      </c>
      <c r="P37" s="51">
        <f t="shared" si="1"/>
        <v>0.21017</v>
      </c>
      <c r="Q37" s="51">
        <v>9.8080000000000001E-2</v>
      </c>
      <c r="R37" s="116">
        <f t="shared" si="2"/>
        <v>0.98080000000000001</v>
      </c>
      <c r="S37" s="52"/>
      <c r="T37" s="3"/>
      <c r="U37" s="3"/>
    </row>
    <row r="38" spans="1:21" ht="15.75" thickBot="1" x14ac:dyDescent="0.3">
      <c r="A38" s="12">
        <v>36</v>
      </c>
      <c r="B38" s="122" t="s">
        <v>71</v>
      </c>
      <c r="C38" s="53" t="s">
        <v>174</v>
      </c>
      <c r="D38" s="54" t="s">
        <v>31</v>
      </c>
      <c r="E38" s="54" t="s">
        <v>175</v>
      </c>
      <c r="F38" s="54" t="s">
        <v>60</v>
      </c>
      <c r="G38" s="55" t="s">
        <v>256</v>
      </c>
      <c r="H38" s="54" t="s">
        <v>210</v>
      </c>
      <c r="I38" s="54" t="s">
        <v>210</v>
      </c>
      <c r="J38" s="54">
        <v>2</v>
      </c>
      <c r="K38" s="54">
        <v>6</v>
      </c>
      <c r="L38" s="69">
        <v>1</v>
      </c>
      <c r="M38" s="103">
        <f t="shared" si="0"/>
        <v>5</v>
      </c>
      <c r="N38" s="57" t="s">
        <v>239</v>
      </c>
      <c r="O38" s="58">
        <v>6.6883999999999997</v>
      </c>
      <c r="P38" s="58">
        <f t="shared" si="1"/>
        <v>13.376799999999999</v>
      </c>
      <c r="Q38" s="58">
        <v>6.6883999999999997</v>
      </c>
      <c r="R38" s="5">
        <f t="shared" si="2"/>
        <v>40.130399999999995</v>
      </c>
      <c r="S38" s="75"/>
      <c r="T38" s="3"/>
      <c r="U38" s="3"/>
    </row>
    <row r="39" spans="1:21" ht="15.75" thickBot="1" x14ac:dyDescent="0.3">
      <c r="A39" s="12">
        <v>37</v>
      </c>
      <c r="B39" s="123"/>
      <c r="C39" s="23" t="s">
        <v>176</v>
      </c>
      <c r="D39" s="24" t="s">
        <v>32</v>
      </c>
      <c r="E39" s="24" t="s">
        <v>177</v>
      </c>
      <c r="F39" s="24" t="s">
        <v>178</v>
      </c>
      <c r="G39" s="25" t="s">
        <v>248</v>
      </c>
      <c r="H39" s="24" t="s">
        <v>210</v>
      </c>
      <c r="I39" s="24" t="s">
        <v>210</v>
      </c>
      <c r="J39" s="24">
        <v>2</v>
      </c>
      <c r="K39" s="24">
        <v>6</v>
      </c>
      <c r="L39" s="27">
        <v>1</v>
      </c>
      <c r="M39" s="105">
        <f t="shared" si="0"/>
        <v>5</v>
      </c>
      <c r="N39" s="28" t="s">
        <v>239</v>
      </c>
      <c r="O39" s="29">
        <v>0.37509999999999999</v>
      </c>
      <c r="P39" s="29">
        <f t="shared" si="1"/>
        <v>0.75019999999999998</v>
      </c>
      <c r="Q39" s="29">
        <v>0.37509999999999999</v>
      </c>
      <c r="R39" s="101">
        <f t="shared" si="2"/>
        <v>2.2505999999999999</v>
      </c>
      <c r="S39" s="21"/>
      <c r="T39" s="3"/>
      <c r="U39" s="3"/>
    </row>
    <row r="40" spans="1:21" ht="26.25" thickBot="1" x14ac:dyDescent="0.3">
      <c r="A40" s="12">
        <v>38</v>
      </c>
      <c r="B40" s="123"/>
      <c r="C40" s="60" t="s">
        <v>274</v>
      </c>
      <c r="D40" s="24" t="s">
        <v>33</v>
      </c>
      <c r="E40" s="26" t="s">
        <v>224</v>
      </c>
      <c r="F40" s="24" t="s">
        <v>275</v>
      </c>
      <c r="G40" s="25" t="s">
        <v>225</v>
      </c>
      <c r="H40" s="24" t="s">
        <v>210</v>
      </c>
      <c r="I40" s="24" t="s">
        <v>210</v>
      </c>
      <c r="J40" s="24">
        <v>2</v>
      </c>
      <c r="K40" s="24">
        <v>6</v>
      </c>
      <c r="L40" s="27">
        <v>1</v>
      </c>
      <c r="M40" s="105">
        <f t="shared" si="0"/>
        <v>5</v>
      </c>
      <c r="N40" s="28" t="s">
        <v>262</v>
      </c>
      <c r="O40" s="29"/>
      <c r="P40" s="29">
        <f t="shared" si="1"/>
        <v>0</v>
      </c>
      <c r="Q40" s="29"/>
      <c r="R40" s="101">
        <f t="shared" si="2"/>
        <v>0</v>
      </c>
      <c r="S40" s="107" t="s">
        <v>276</v>
      </c>
      <c r="T40" s="3"/>
      <c r="U40" s="3"/>
    </row>
    <row r="41" spans="1:21" ht="26.25" thickBot="1" x14ac:dyDescent="0.3">
      <c r="A41" s="12">
        <v>39</v>
      </c>
      <c r="B41" s="123"/>
      <c r="C41" s="23" t="s">
        <v>179</v>
      </c>
      <c r="D41" s="24" t="s">
        <v>34</v>
      </c>
      <c r="E41" s="26" t="s">
        <v>227</v>
      </c>
      <c r="F41" s="24" t="s">
        <v>180</v>
      </c>
      <c r="G41" s="25" t="s">
        <v>226</v>
      </c>
      <c r="H41" s="24" t="s">
        <v>210</v>
      </c>
      <c r="I41" s="24" t="s">
        <v>210</v>
      </c>
      <c r="J41" s="24">
        <v>2</v>
      </c>
      <c r="K41" s="24">
        <v>6</v>
      </c>
      <c r="L41" s="27">
        <v>1</v>
      </c>
      <c r="M41" s="105">
        <f t="shared" si="0"/>
        <v>5</v>
      </c>
      <c r="N41" s="28" t="s">
        <v>262</v>
      </c>
      <c r="O41" s="29"/>
      <c r="P41" s="29">
        <f t="shared" si="1"/>
        <v>0</v>
      </c>
      <c r="Q41" s="29"/>
      <c r="R41" s="101">
        <f t="shared" si="2"/>
        <v>0</v>
      </c>
      <c r="S41" s="107" t="s">
        <v>276</v>
      </c>
      <c r="T41" s="3"/>
      <c r="U41" s="3"/>
    </row>
    <row r="42" spans="1:21" ht="26.25" thickBot="1" x14ac:dyDescent="0.3">
      <c r="A42" s="12">
        <v>40</v>
      </c>
      <c r="B42" s="123"/>
      <c r="C42" s="60" t="s">
        <v>229</v>
      </c>
      <c r="D42" s="24" t="s">
        <v>56</v>
      </c>
      <c r="E42" s="26" t="s">
        <v>228</v>
      </c>
      <c r="F42" s="24" t="s">
        <v>181</v>
      </c>
      <c r="G42" s="25" t="s">
        <v>65</v>
      </c>
      <c r="H42" s="24" t="s">
        <v>210</v>
      </c>
      <c r="I42" s="24" t="s">
        <v>210</v>
      </c>
      <c r="J42" s="24">
        <v>2</v>
      </c>
      <c r="K42" s="24">
        <v>6</v>
      </c>
      <c r="L42" s="27">
        <v>1</v>
      </c>
      <c r="M42" s="105">
        <f t="shared" si="0"/>
        <v>5</v>
      </c>
      <c r="N42" s="28" t="s">
        <v>262</v>
      </c>
      <c r="O42" s="29"/>
      <c r="P42" s="29">
        <f t="shared" si="1"/>
        <v>0</v>
      </c>
      <c r="Q42" s="29"/>
      <c r="R42" s="101">
        <f t="shared" si="2"/>
        <v>0</v>
      </c>
      <c r="S42" s="107" t="s">
        <v>276</v>
      </c>
      <c r="T42" s="3"/>
      <c r="U42" s="3"/>
    </row>
    <row r="43" spans="1:21" ht="26.25" thickBot="1" x14ac:dyDescent="0.3">
      <c r="A43" s="12">
        <v>41</v>
      </c>
      <c r="B43" s="123"/>
      <c r="C43" s="60" t="s">
        <v>67</v>
      </c>
      <c r="D43" s="24" t="s">
        <v>7</v>
      </c>
      <c r="E43" s="24" t="s">
        <v>230</v>
      </c>
      <c r="F43" s="24" t="s">
        <v>59</v>
      </c>
      <c r="G43" s="24" t="s">
        <v>231</v>
      </c>
      <c r="H43" s="24" t="s">
        <v>210</v>
      </c>
      <c r="I43" s="24" t="s">
        <v>210</v>
      </c>
      <c r="J43" s="24">
        <v>2</v>
      </c>
      <c r="K43" s="24">
        <v>6</v>
      </c>
      <c r="L43" s="27">
        <v>1</v>
      </c>
      <c r="M43" s="105">
        <f t="shared" si="0"/>
        <v>5</v>
      </c>
      <c r="N43" s="28" t="s">
        <v>262</v>
      </c>
      <c r="O43" s="29"/>
      <c r="P43" s="29">
        <f t="shared" si="1"/>
        <v>0</v>
      </c>
      <c r="Q43" s="29"/>
      <c r="R43" s="101">
        <f t="shared" si="2"/>
        <v>0</v>
      </c>
      <c r="S43" s="107" t="s">
        <v>276</v>
      </c>
      <c r="T43" s="3"/>
      <c r="U43" s="3"/>
    </row>
    <row r="44" spans="1:21" ht="26.25" thickBot="1" x14ac:dyDescent="0.3">
      <c r="A44" s="12">
        <v>42</v>
      </c>
      <c r="B44" s="123"/>
      <c r="C44" s="60" t="s">
        <v>232</v>
      </c>
      <c r="D44" s="24" t="s">
        <v>35</v>
      </c>
      <c r="E44" s="26" t="s">
        <v>233</v>
      </c>
      <c r="F44" s="24" t="s">
        <v>182</v>
      </c>
      <c r="G44" s="24" t="s">
        <v>231</v>
      </c>
      <c r="H44" s="24" t="s">
        <v>210</v>
      </c>
      <c r="I44" s="24" t="s">
        <v>210</v>
      </c>
      <c r="J44" s="24">
        <v>2</v>
      </c>
      <c r="K44" s="24">
        <v>6</v>
      </c>
      <c r="L44" s="27">
        <v>1</v>
      </c>
      <c r="M44" s="105">
        <f t="shared" si="0"/>
        <v>5</v>
      </c>
      <c r="N44" s="28" t="s">
        <v>262</v>
      </c>
      <c r="O44" s="29"/>
      <c r="P44" s="29">
        <f t="shared" si="1"/>
        <v>0</v>
      </c>
      <c r="Q44" s="29"/>
      <c r="R44" s="101">
        <f t="shared" si="2"/>
        <v>0</v>
      </c>
      <c r="S44" s="107" t="s">
        <v>276</v>
      </c>
      <c r="T44" s="3"/>
      <c r="U44" s="3"/>
    </row>
    <row r="45" spans="1:21" ht="26.25" thickBot="1" x14ac:dyDescent="0.3">
      <c r="A45" s="12">
        <v>43</v>
      </c>
      <c r="B45" s="123"/>
      <c r="C45" s="60" t="s">
        <v>236</v>
      </c>
      <c r="D45" s="24" t="s">
        <v>36</v>
      </c>
      <c r="E45" s="26" t="s">
        <v>235</v>
      </c>
      <c r="F45" s="24" t="s">
        <v>183</v>
      </c>
      <c r="G45" s="24" t="s">
        <v>231</v>
      </c>
      <c r="H45" s="24" t="s">
        <v>210</v>
      </c>
      <c r="I45" s="24" t="s">
        <v>210</v>
      </c>
      <c r="J45" s="24">
        <v>2</v>
      </c>
      <c r="K45" s="24">
        <v>6</v>
      </c>
      <c r="L45" s="27">
        <v>1</v>
      </c>
      <c r="M45" s="105">
        <f t="shared" si="0"/>
        <v>5</v>
      </c>
      <c r="N45" s="28" t="s">
        <v>262</v>
      </c>
      <c r="O45" s="29"/>
      <c r="P45" s="29">
        <f t="shared" si="1"/>
        <v>0</v>
      </c>
      <c r="Q45" s="29"/>
      <c r="R45" s="101">
        <f t="shared" si="2"/>
        <v>0</v>
      </c>
      <c r="S45" s="107" t="s">
        <v>276</v>
      </c>
      <c r="T45" s="3"/>
      <c r="U45" s="3"/>
    </row>
    <row r="46" spans="1:21" ht="26.25" thickBot="1" x14ac:dyDescent="0.3">
      <c r="A46" s="12">
        <v>44</v>
      </c>
      <c r="B46" s="124"/>
      <c r="C46" s="32" t="s">
        <v>184</v>
      </c>
      <c r="D46" s="33" t="s">
        <v>185</v>
      </c>
      <c r="E46" s="35" t="s">
        <v>234</v>
      </c>
      <c r="F46" s="33" t="s">
        <v>186</v>
      </c>
      <c r="G46" s="33" t="s">
        <v>249</v>
      </c>
      <c r="H46" s="33" t="s">
        <v>210</v>
      </c>
      <c r="I46" s="33" t="s">
        <v>210</v>
      </c>
      <c r="J46" s="33">
        <v>2</v>
      </c>
      <c r="K46" s="33">
        <v>6</v>
      </c>
      <c r="L46" s="36">
        <v>1</v>
      </c>
      <c r="M46" s="109">
        <f t="shared" si="0"/>
        <v>5</v>
      </c>
      <c r="N46" s="37" t="s">
        <v>262</v>
      </c>
      <c r="O46" s="38"/>
      <c r="P46" s="38">
        <f t="shared" si="1"/>
        <v>0</v>
      </c>
      <c r="Q46" s="38"/>
      <c r="R46" s="110">
        <f t="shared" si="2"/>
        <v>0</v>
      </c>
      <c r="S46" s="118" t="s">
        <v>276</v>
      </c>
      <c r="T46" s="3"/>
      <c r="U46" s="3"/>
    </row>
    <row r="47" spans="1:21" ht="15.75" thickBot="1" x14ac:dyDescent="0.3">
      <c r="A47" s="12">
        <v>45</v>
      </c>
      <c r="B47" s="97" t="s">
        <v>237</v>
      </c>
      <c r="C47" s="76" t="s">
        <v>187</v>
      </c>
      <c r="D47" s="72" t="s">
        <v>55</v>
      </c>
      <c r="E47" s="72" t="s">
        <v>103</v>
      </c>
      <c r="F47" s="72" t="s">
        <v>188</v>
      </c>
      <c r="G47" s="72" t="s">
        <v>250</v>
      </c>
      <c r="H47" s="77" t="s">
        <v>251</v>
      </c>
      <c r="I47" s="77" t="s">
        <v>252</v>
      </c>
      <c r="J47" s="77">
        <v>2</v>
      </c>
      <c r="K47" s="77">
        <v>6</v>
      </c>
      <c r="L47" s="78">
        <v>1</v>
      </c>
      <c r="M47" s="114">
        <f t="shared" si="0"/>
        <v>5</v>
      </c>
      <c r="N47" s="79" t="s">
        <v>239</v>
      </c>
      <c r="O47" s="80">
        <v>0.28570000000000001</v>
      </c>
      <c r="P47" s="80">
        <f t="shared" si="1"/>
        <v>0.57140000000000002</v>
      </c>
      <c r="Q47" s="80">
        <v>0.28570000000000001</v>
      </c>
      <c r="R47" s="116">
        <f t="shared" si="2"/>
        <v>1.7141999999999999</v>
      </c>
      <c r="S47" s="81"/>
      <c r="T47" s="3"/>
      <c r="U47" s="3"/>
    </row>
    <row r="48" spans="1:21" ht="26.25" thickBot="1" x14ac:dyDescent="0.3">
      <c r="A48" s="12">
        <v>46</v>
      </c>
      <c r="B48" s="122" t="s">
        <v>72</v>
      </c>
      <c r="C48" s="53" t="s">
        <v>189</v>
      </c>
      <c r="D48" s="54" t="s">
        <v>5</v>
      </c>
      <c r="E48" s="54" t="s">
        <v>103</v>
      </c>
      <c r="F48" s="54" t="s">
        <v>190</v>
      </c>
      <c r="G48" s="55" t="s">
        <v>247</v>
      </c>
      <c r="H48" s="55" t="s">
        <v>257</v>
      </c>
      <c r="I48" s="55" t="s">
        <v>258</v>
      </c>
      <c r="J48" s="55"/>
      <c r="K48" s="55"/>
      <c r="L48" s="56">
        <v>1</v>
      </c>
      <c r="M48" s="103">
        <f t="shared" si="0"/>
        <v>5</v>
      </c>
      <c r="N48" s="82"/>
      <c r="O48" s="58"/>
      <c r="P48" s="58">
        <f t="shared" si="1"/>
        <v>0</v>
      </c>
      <c r="Q48" s="83"/>
      <c r="R48" s="5">
        <f t="shared" si="2"/>
        <v>0</v>
      </c>
      <c r="S48" s="119" t="s">
        <v>276</v>
      </c>
      <c r="T48" s="3"/>
      <c r="U48" s="3"/>
    </row>
    <row r="49" spans="1:21" ht="15.75" thickBot="1" x14ac:dyDescent="0.3">
      <c r="A49" s="12">
        <v>47</v>
      </c>
      <c r="B49" s="123"/>
      <c r="C49" s="23" t="s">
        <v>191</v>
      </c>
      <c r="D49" s="24" t="s">
        <v>192</v>
      </c>
      <c r="E49" s="24" t="s">
        <v>103</v>
      </c>
      <c r="F49" s="24" t="s">
        <v>193</v>
      </c>
      <c r="G49" s="25" t="s">
        <v>253</v>
      </c>
      <c r="H49" s="24" t="s">
        <v>210</v>
      </c>
      <c r="I49" s="24" t="s">
        <v>210</v>
      </c>
      <c r="J49" s="24">
        <v>10</v>
      </c>
      <c r="K49" s="24">
        <v>10</v>
      </c>
      <c r="L49" s="84">
        <v>2</v>
      </c>
      <c r="M49" s="105">
        <f t="shared" si="0"/>
        <v>10</v>
      </c>
      <c r="N49" s="85" t="s">
        <v>239</v>
      </c>
      <c r="O49" s="29">
        <v>4.4699999999999997E-2</v>
      </c>
      <c r="P49" s="29">
        <f t="shared" si="1"/>
        <v>0.44699999999999995</v>
      </c>
      <c r="Q49" s="29">
        <v>4.4699999999999997E-2</v>
      </c>
      <c r="R49" s="101">
        <f t="shared" si="2"/>
        <v>0.44699999999999995</v>
      </c>
      <c r="S49" s="21"/>
      <c r="T49" s="3"/>
      <c r="U49" s="3"/>
    </row>
    <row r="50" spans="1:21" ht="15.75" thickBot="1" x14ac:dyDescent="0.3">
      <c r="A50" s="12">
        <v>48</v>
      </c>
      <c r="B50" s="123"/>
      <c r="C50" s="23" t="s">
        <v>194</v>
      </c>
      <c r="D50" s="24" t="s">
        <v>195</v>
      </c>
      <c r="E50" s="24" t="s">
        <v>103</v>
      </c>
      <c r="F50" s="24" t="s">
        <v>196</v>
      </c>
      <c r="G50" s="25" t="s">
        <v>247</v>
      </c>
      <c r="H50" s="24" t="s">
        <v>210</v>
      </c>
      <c r="I50" s="24" t="s">
        <v>210</v>
      </c>
      <c r="J50" s="24">
        <v>5</v>
      </c>
      <c r="K50" s="24">
        <v>10</v>
      </c>
      <c r="L50" s="86">
        <v>1</v>
      </c>
      <c r="M50" s="105">
        <f t="shared" si="0"/>
        <v>5</v>
      </c>
      <c r="N50" s="85" t="s">
        <v>239</v>
      </c>
      <c r="O50" s="29">
        <v>0.11650000000000001</v>
      </c>
      <c r="P50" s="29">
        <f t="shared" si="1"/>
        <v>0.58250000000000002</v>
      </c>
      <c r="Q50" s="29">
        <v>0.11650000000000001</v>
      </c>
      <c r="R50" s="101">
        <f t="shared" si="2"/>
        <v>1.165</v>
      </c>
      <c r="S50" s="87"/>
      <c r="T50" s="3"/>
      <c r="U50" s="3"/>
    </row>
    <row r="51" spans="1:21" ht="15.75" thickBot="1" x14ac:dyDescent="0.3">
      <c r="A51" s="12">
        <v>49</v>
      </c>
      <c r="B51" s="123"/>
      <c r="C51" s="23" t="s">
        <v>197</v>
      </c>
      <c r="D51" s="24" t="s">
        <v>198</v>
      </c>
      <c r="E51" s="24" t="s">
        <v>199</v>
      </c>
      <c r="F51" s="24" t="s">
        <v>200</v>
      </c>
      <c r="G51" s="25" t="s">
        <v>68</v>
      </c>
      <c r="H51" s="24" t="s">
        <v>210</v>
      </c>
      <c r="I51" s="24" t="s">
        <v>210</v>
      </c>
      <c r="J51" s="24">
        <v>10</v>
      </c>
      <c r="K51" s="24">
        <v>10</v>
      </c>
      <c r="L51" s="86">
        <v>1</v>
      </c>
      <c r="M51" s="105">
        <f t="shared" si="0"/>
        <v>5</v>
      </c>
      <c r="N51" s="85" t="s">
        <v>239</v>
      </c>
      <c r="O51" s="29">
        <v>5.4899999999999997E-2</v>
      </c>
      <c r="P51" s="29">
        <f t="shared" si="1"/>
        <v>0.54899999999999993</v>
      </c>
      <c r="Q51" s="29">
        <v>5.4899999999999997E-2</v>
      </c>
      <c r="R51" s="101">
        <f t="shared" si="2"/>
        <v>0.54899999999999993</v>
      </c>
      <c r="S51" s="30"/>
      <c r="T51" s="3"/>
      <c r="U51" s="3"/>
    </row>
    <row r="52" spans="1:21" ht="15.75" thickBot="1" x14ac:dyDescent="0.3">
      <c r="A52" s="108">
        <v>50</v>
      </c>
      <c r="B52" s="124"/>
      <c r="C52" s="32" t="s">
        <v>201</v>
      </c>
      <c r="D52" s="33" t="s">
        <v>202</v>
      </c>
      <c r="E52" s="33" t="s">
        <v>203</v>
      </c>
      <c r="F52" s="33" t="s">
        <v>204</v>
      </c>
      <c r="G52" s="34" t="s">
        <v>238</v>
      </c>
      <c r="H52" s="33" t="s">
        <v>210</v>
      </c>
      <c r="I52" s="33" t="s">
        <v>210</v>
      </c>
      <c r="J52" s="33">
        <v>5</v>
      </c>
      <c r="K52" s="33">
        <v>10</v>
      </c>
      <c r="L52" s="88">
        <v>1</v>
      </c>
      <c r="M52" s="109">
        <f t="shared" si="0"/>
        <v>5</v>
      </c>
      <c r="N52" s="89" t="s">
        <v>239</v>
      </c>
      <c r="O52" s="38">
        <v>0.1085</v>
      </c>
      <c r="P52" s="38">
        <f t="shared" si="1"/>
        <v>0.54249999999999998</v>
      </c>
      <c r="Q52" s="38">
        <v>0.1085</v>
      </c>
      <c r="R52" s="110">
        <f t="shared" si="2"/>
        <v>1.085</v>
      </c>
      <c r="S52" s="22"/>
      <c r="T52" s="3"/>
      <c r="U52" s="3"/>
    </row>
    <row r="53" spans="1:21" ht="19.5" customHeight="1" thickBot="1" x14ac:dyDescent="0.35">
      <c r="M53" s="125" t="s">
        <v>17</v>
      </c>
      <c r="N53" s="125"/>
      <c r="O53" s="98"/>
      <c r="P53" s="120">
        <f>SUM(P3:P52)</f>
        <v>31.280069999999995</v>
      </c>
      <c r="R53" s="13">
        <f>SUM(R3:R52)</f>
        <v>74.912500000000009</v>
      </c>
      <c r="T53" s="3"/>
      <c r="U53" s="3"/>
    </row>
    <row r="54" spans="1:21" ht="18.75" customHeight="1" x14ac:dyDescent="0.25">
      <c r="M54" s="126" t="s">
        <v>18</v>
      </c>
      <c r="N54" s="126"/>
      <c r="O54" s="99"/>
      <c r="P54" s="99"/>
      <c r="R54" s="121">
        <f>R53/5</f>
        <v>14.982500000000002</v>
      </c>
      <c r="T54" s="3"/>
      <c r="U54" s="3"/>
    </row>
    <row r="55" spans="1:21" x14ac:dyDescent="0.25">
      <c r="T55" s="3"/>
      <c r="U55" s="3"/>
    </row>
    <row r="56" spans="1:21" x14ac:dyDescent="0.25">
      <c r="T56" s="3"/>
      <c r="U56" s="3"/>
    </row>
    <row r="57" spans="1:21" x14ac:dyDescent="0.25">
      <c r="T57" s="3"/>
      <c r="U57" s="3"/>
    </row>
    <row r="58" spans="1:21" ht="15.75" customHeight="1" x14ac:dyDescent="0.25">
      <c r="T58" s="3"/>
      <c r="U58" s="3"/>
    </row>
    <row r="59" spans="1:21" ht="15.75" customHeight="1" x14ac:dyDescent="0.25">
      <c r="T59" s="3"/>
      <c r="U59" s="3"/>
    </row>
    <row r="60" spans="1:21" ht="15.75" customHeight="1" x14ac:dyDescent="0.25">
      <c r="T60" s="3"/>
      <c r="U60" s="3"/>
    </row>
    <row r="61" spans="1:21" x14ac:dyDescent="0.25">
      <c r="T61" s="3"/>
      <c r="U61" s="3"/>
    </row>
    <row r="62" spans="1:21" x14ac:dyDescent="0.25">
      <c r="T62" s="3"/>
      <c r="U62" s="3"/>
    </row>
  </sheetData>
  <mergeCells count="12">
    <mergeCell ref="A1:S1"/>
    <mergeCell ref="B11:B13"/>
    <mergeCell ref="B3:B10"/>
    <mergeCell ref="B14:B16"/>
    <mergeCell ref="B17:B18"/>
    <mergeCell ref="B48:B52"/>
    <mergeCell ref="M53:N53"/>
    <mergeCell ref="M54:N54"/>
    <mergeCell ref="B19:B21"/>
    <mergeCell ref="B36:B37"/>
    <mergeCell ref="B38:B46"/>
    <mergeCell ref="B22:B35"/>
  </mergeCells>
  <conditionalFormatting sqref="S19:S20">
    <cfRule type="dataBar" priority="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{03DC7ABD-1804-44C8-B518-B9C1E3B7B782}</x14:id>
        </ext>
      </extLst>
    </cfRule>
  </conditionalFormatting>
  <conditionalFormatting sqref="S14">
    <cfRule type="dataBar" priority="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{E979418E-1F02-4D53-806F-B483D95944D6}</x14:id>
        </ext>
      </extLst>
    </cfRule>
  </conditionalFormatting>
  <conditionalFormatting sqref="R3:R52 R54"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{9C11EB30-88AE-4AD0-B2DA-E34DBD9D8773}</x14:id>
        </ext>
      </extLst>
    </cfRule>
  </conditionalFormatting>
  <conditionalFormatting sqref="S18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{6BA483C9-653D-485E-AAC2-6158984F8467}</x14:id>
        </ext>
      </extLst>
    </cfRule>
  </conditionalFormatting>
  <conditionalFormatting sqref="L3:M52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M5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N11" r:id="rId1"/>
    <hyperlink ref="N12" r:id="rId2"/>
    <hyperlink ref="N14" r:id="rId3"/>
    <hyperlink ref="N17" r:id="rId4"/>
    <hyperlink ref="N20" r:id="rId5"/>
    <hyperlink ref="N25" r:id="rId6"/>
    <hyperlink ref="N27" r:id="rId7"/>
    <hyperlink ref="N36" r:id="rId8"/>
    <hyperlink ref="N39" r:id="rId9"/>
    <hyperlink ref="N47" r:id="rId10"/>
    <hyperlink ref="N49" r:id="rId11"/>
    <hyperlink ref="N50" r:id="rId12"/>
    <hyperlink ref="N18" r:id="rId13"/>
    <hyperlink ref="N44" r:id="rId14"/>
    <hyperlink ref="N9" r:id="rId15"/>
    <hyperlink ref="N3" r:id="rId16"/>
    <hyperlink ref="N6" r:id="rId17"/>
    <hyperlink ref="N7" r:id="rId18"/>
    <hyperlink ref="N13" r:id="rId19"/>
    <hyperlink ref="N16" r:id="rId20"/>
    <hyperlink ref="N22" r:id="rId21"/>
    <hyperlink ref="N23" r:id="rId22"/>
    <hyperlink ref="N26" r:id="rId23"/>
    <hyperlink ref="N28" r:id="rId24"/>
    <hyperlink ref="N29" r:id="rId25"/>
    <hyperlink ref="N30" r:id="rId26"/>
    <hyperlink ref="N31" r:id="rId27"/>
    <hyperlink ref="N33" r:id="rId28"/>
    <hyperlink ref="N34" r:id="rId29"/>
    <hyperlink ref="N35" r:id="rId30"/>
    <hyperlink ref="N24" r:id="rId31"/>
    <hyperlink ref="N8" r:id="rId32"/>
    <hyperlink ref="N10" r:id="rId33"/>
    <hyperlink ref="N32" r:id="rId34"/>
    <hyperlink ref="N51" r:id="rId35"/>
    <hyperlink ref="N4" r:id="rId36"/>
    <hyperlink ref="N19" r:id="rId37"/>
    <hyperlink ref="N38" r:id="rId38"/>
    <hyperlink ref="N52" r:id="rId39"/>
    <hyperlink ref="N5" r:id="rId40"/>
    <hyperlink ref="N15" r:id="rId41"/>
    <hyperlink ref="N21" r:id="rId42"/>
    <hyperlink ref="N37" r:id="rId43"/>
    <hyperlink ref="N40" r:id="rId44"/>
    <hyperlink ref="N41" r:id="rId45"/>
    <hyperlink ref="N42" r:id="rId46"/>
    <hyperlink ref="N43" r:id="rId47"/>
    <hyperlink ref="N45" r:id="rId48"/>
    <hyperlink ref="N46" r:id="rId49"/>
  </hyperlinks>
  <pageMargins left="0.7" right="0.7" top="0.75" bottom="0.75" header="0.3" footer="0.3"/>
  <pageSetup orientation="portrait" r:id="rId5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DC7ABD-1804-44C8-B518-B9C1E3B7B7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S19:S20</xm:sqref>
        </x14:conditionalFormatting>
        <x14:conditionalFormatting xmlns:xm="http://schemas.microsoft.com/office/excel/2006/main">
          <x14:cfRule type="dataBar" id="{E979418E-1F02-4D53-806F-B483D95944D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S14</xm:sqref>
        </x14:conditionalFormatting>
        <x14:conditionalFormatting xmlns:xm="http://schemas.microsoft.com/office/excel/2006/main">
          <x14:cfRule type="dataBar" id="{9C11EB30-88AE-4AD0-B2DA-E34DBD9D87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R3:R52 R54</xm:sqref>
        </x14:conditionalFormatting>
        <x14:conditionalFormatting xmlns:xm="http://schemas.microsoft.com/office/excel/2006/main">
          <x14:cfRule type="dataBar" id="{6BA483C9-653D-485E-AAC2-6158984F84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Windows User</cp:lastModifiedBy>
  <dcterms:created xsi:type="dcterms:W3CDTF">2021-05-17T11:34:06Z</dcterms:created>
  <dcterms:modified xsi:type="dcterms:W3CDTF">2022-01-08T13:27:13Z</dcterms:modified>
</cp:coreProperties>
</file>