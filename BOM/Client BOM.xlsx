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BriacBarthes-PhoneCharger\BOM\"/>
    </mc:Choice>
  </mc:AlternateContent>
  <bookViews>
    <workbookView xWindow="0" yWindow="0" windowWidth="28800" windowHeight="1230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3" i="1" l="1"/>
  <c r="Y46" i="1"/>
  <c r="Y33" i="1"/>
  <c r="Y32" i="1"/>
  <c r="Y31" i="1"/>
  <c r="Y30" i="1"/>
  <c r="Y29" i="1"/>
  <c r="Y27" i="1"/>
  <c r="Y26" i="1"/>
  <c r="Y25" i="1"/>
  <c r="Y24" i="1"/>
  <c r="Y23" i="1"/>
  <c r="Y22" i="1"/>
  <c r="Y21" i="1"/>
  <c r="Y34" i="1"/>
  <c r="Y35" i="1"/>
  <c r="Y36" i="1"/>
  <c r="Y37" i="1"/>
  <c r="Y39" i="1"/>
  <c r="Y40" i="1"/>
  <c r="Y41" i="1"/>
  <c r="Y44" i="1"/>
  <c r="Y48" i="1"/>
  <c r="Y49" i="1"/>
  <c r="Y50" i="1"/>
  <c r="Y16" i="1"/>
  <c r="Y15" i="1"/>
  <c r="Y10" i="1"/>
  <c r="Y7" i="1"/>
  <c r="Y9" i="1"/>
  <c r="Y12" i="1"/>
  <c r="P42" i="1"/>
  <c r="Y42" i="1"/>
  <c r="Y13" i="1"/>
  <c r="Y6" i="1"/>
  <c r="Y8" i="1"/>
  <c r="Y17" i="1"/>
  <c r="Y3" i="1"/>
  <c r="Y11" i="1"/>
  <c r="Y18" i="1"/>
  <c r="Y5" i="1"/>
  <c r="P28" i="1"/>
  <c r="Y28" i="1"/>
  <c r="Y4" i="1"/>
  <c r="P14" i="1"/>
  <c r="Y14" i="1"/>
  <c r="P19" i="1"/>
  <c r="Y19" i="1"/>
  <c r="P20" i="1"/>
  <c r="Y20" i="1"/>
  <c r="P38" i="1"/>
  <c r="Y38" i="1"/>
  <c r="P45" i="1"/>
  <c r="Y45" i="1"/>
  <c r="P47" i="1"/>
  <c r="Y47" i="1"/>
  <c r="Y51" i="1"/>
  <c r="W36" i="1"/>
  <c r="W33" i="1"/>
  <c r="W31" i="1"/>
  <c r="W7" i="1"/>
  <c r="W34" i="1"/>
  <c r="W44" i="1"/>
  <c r="W46" i="1"/>
  <c r="W40" i="1"/>
  <c r="W16" i="1"/>
  <c r="W48" i="1"/>
  <c r="W10" i="1"/>
  <c r="W32" i="1"/>
  <c r="W50" i="1"/>
  <c r="W49" i="1"/>
  <c r="W12" i="1"/>
  <c r="W6" i="1"/>
  <c r="W37" i="1"/>
  <c r="O47" i="1"/>
  <c r="W47" i="1"/>
  <c r="W42" i="1"/>
  <c r="W15" i="1"/>
  <c r="W41" i="1"/>
  <c r="W23" i="1"/>
  <c r="W25" i="1"/>
  <c r="W24" i="1"/>
  <c r="W22" i="1"/>
  <c r="W5" i="1"/>
  <c r="W39" i="1"/>
  <c r="W35" i="1"/>
  <c r="O38" i="1"/>
  <c r="W38" i="1"/>
  <c r="W3" i="1"/>
  <c r="W4" i="1"/>
  <c r="W8" i="1"/>
  <c r="W9" i="1"/>
  <c r="W11" i="1"/>
  <c r="W13" i="1"/>
  <c r="O14" i="1"/>
  <c r="W14" i="1"/>
  <c r="W17" i="1"/>
  <c r="W18" i="1"/>
  <c r="O19" i="1"/>
  <c r="W19" i="1"/>
  <c r="O20" i="1"/>
  <c r="W20" i="1"/>
  <c r="W21" i="1"/>
  <c r="W26" i="1"/>
  <c r="W27" i="1"/>
  <c r="O28" i="1"/>
  <c r="W28" i="1"/>
  <c r="W29" i="1"/>
  <c r="W30" i="1"/>
  <c r="W43" i="1"/>
  <c r="O45" i="1"/>
  <c r="W45" i="1"/>
  <c r="W51" i="1"/>
  <c r="U3" i="1"/>
  <c r="U5" i="1"/>
  <c r="N50" i="1"/>
  <c r="U50" i="1"/>
  <c r="U31" i="1"/>
  <c r="U4" i="1"/>
  <c r="U17" i="1"/>
  <c r="U6" i="1"/>
  <c r="N41" i="1"/>
  <c r="U41" i="1"/>
  <c r="U33" i="1"/>
  <c r="U49" i="1"/>
  <c r="U26" i="1"/>
  <c r="U25" i="1"/>
  <c r="U23" i="1"/>
  <c r="U10" i="1"/>
  <c r="U30" i="1"/>
  <c r="U32" i="1"/>
  <c r="U24" i="1"/>
  <c r="N42" i="1"/>
  <c r="U42" i="1"/>
  <c r="U46" i="1"/>
  <c r="U39" i="1"/>
  <c r="U37" i="1"/>
  <c r="U36" i="1"/>
  <c r="N40" i="1"/>
  <c r="U40" i="1"/>
  <c r="U7" i="1"/>
  <c r="N8" i="1"/>
  <c r="U8" i="1"/>
  <c r="U9" i="1"/>
  <c r="U11" i="1"/>
  <c r="U12" i="1"/>
  <c r="U13" i="1"/>
  <c r="N14" i="1"/>
  <c r="U14" i="1"/>
  <c r="U15" i="1"/>
  <c r="U16" i="1"/>
  <c r="U18" i="1"/>
  <c r="N19" i="1"/>
  <c r="U19" i="1"/>
  <c r="N20" i="1"/>
  <c r="U20" i="1"/>
  <c r="U21" i="1"/>
  <c r="U22" i="1"/>
  <c r="U27" i="1"/>
  <c r="N28" i="1"/>
  <c r="U28" i="1"/>
  <c r="U29" i="1"/>
  <c r="U34" i="1"/>
  <c r="U35" i="1"/>
  <c r="N38" i="1"/>
  <c r="U38" i="1"/>
  <c r="N43" i="1"/>
  <c r="U43" i="1"/>
  <c r="N44" i="1"/>
  <c r="U44" i="1"/>
  <c r="N45" i="1"/>
  <c r="U45" i="1"/>
  <c r="N47" i="1"/>
  <c r="U47" i="1"/>
  <c r="U48" i="1"/>
  <c r="U51" i="1"/>
  <c r="S3" i="1"/>
  <c r="S4" i="1"/>
  <c r="S5" i="1"/>
  <c r="S6" i="1"/>
  <c r="S7" i="1"/>
  <c r="S9" i="1"/>
  <c r="S27" i="1"/>
  <c r="S31" i="1"/>
  <c r="S10" i="1"/>
  <c r="S30" i="1"/>
  <c r="S29" i="1"/>
  <c r="S25" i="1"/>
  <c r="S33" i="1"/>
  <c r="M17" i="1"/>
  <c r="S17" i="1"/>
  <c r="S50" i="1"/>
  <c r="S46" i="1"/>
  <c r="M8" i="1"/>
  <c r="S8" i="1"/>
  <c r="S11" i="1"/>
  <c r="S12" i="1"/>
  <c r="M13" i="1"/>
  <c r="S13" i="1"/>
  <c r="M14" i="1"/>
  <c r="S14" i="1"/>
  <c r="S15" i="1"/>
  <c r="S16" i="1"/>
  <c r="S18" i="1"/>
  <c r="M19" i="1"/>
  <c r="S19" i="1"/>
  <c r="M20" i="1"/>
  <c r="S20" i="1"/>
  <c r="S21" i="1"/>
  <c r="M22" i="1"/>
  <c r="S22" i="1"/>
  <c r="S23" i="1"/>
  <c r="S24" i="1"/>
  <c r="S26" i="1"/>
  <c r="M28" i="1"/>
  <c r="S28" i="1"/>
  <c r="S32" i="1"/>
  <c r="S34" i="1"/>
  <c r="S35" i="1"/>
  <c r="S36" i="1"/>
  <c r="S37" i="1"/>
  <c r="M38" i="1"/>
  <c r="S38" i="1"/>
  <c r="S39" i="1"/>
  <c r="S40" i="1"/>
  <c r="M41" i="1"/>
  <c r="S41" i="1"/>
  <c r="M42" i="1"/>
  <c r="S42" i="1"/>
  <c r="M43" i="1"/>
  <c r="S43" i="1"/>
  <c r="M44" i="1"/>
  <c r="S44" i="1"/>
  <c r="M45" i="1"/>
  <c r="S45" i="1"/>
  <c r="M47" i="1"/>
  <c r="S47" i="1"/>
  <c r="M48" i="1"/>
  <c r="S48" i="1"/>
  <c r="S49" i="1"/>
  <c r="S51" i="1"/>
  <c r="S52" i="1"/>
  <c r="AA43" i="1"/>
  <c r="AA13" i="1"/>
  <c r="AA7" i="1"/>
  <c r="AA10" i="1"/>
  <c r="AA11" i="1"/>
  <c r="Q14" i="1"/>
  <c r="AA14" i="1"/>
  <c r="AA9" i="1"/>
  <c r="AA23" i="1"/>
  <c r="AA34" i="1"/>
  <c r="AA35" i="1"/>
  <c r="AA37" i="1"/>
  <c r="AA46" i="1"/>
  <c r="AA48" i="1"/>
  <c r="AA49" i="1"/>
  <c r="AA50" i="1"/>
  <c r="AA33" i="1"/>
  <c r="AA32" i="1"/>
  <c r="AA30" i="1"/>
  <c r="AA24" i="1"/>
  <c r="AA15" i="1"/>
  <c r="AA41" i="1"/>
  <c r="AA44" i="1"/>
  <c r="AA31" i="1"/>
  <c r="AA29" i="1"/>
  <c r="AA26" i="1"/>
  <c r="AA27" i="1"/>
  <c r="AA3" i="1"/>
  <c r="AA4" i="1"/>
  <c r="AA5" i="1"/>
  <c r="AA6" i="1"/>
  <c r="AA8" i="1"/>
  <c r="AA12" i="1"/>
  <c r="AA16" i="1"/>
  <c r="AA17" i="1"/>
  <c r="AA18" i="1"/>
  <c r="Q19" i="1"/>
  <c r="AA19" i="1"/>
  <c r="Q20" i="1"/>
  <c r="AA20" i="1"/>
  <c r="AA21" i="1"/>
  <c r="AA22" i="1"/>
  <c r="AA25" i="1"/>
  <c r="Q28" i="1"/>
  <c r="AA28" i="1"/>
  <c r="AA36" i="1"/>
  <c r="Q38" i="1"/>
  <c r="AA38" i="1"/>
  <c r="AA39" i="1"/>
  <c r="AA40" i="1"/>
  <c r="Q42" i="1"/>
  <c r="AA42" i="1"/>
  <c r="Q45" i="1"/>
  <c r="AA45" i="1"/>
  <c r="Q47" i="1"/>
  <c r="AA47" i="1"/>
  <c r="AA51" i="1"/>
  <c r="AA52" i="1"/>
  <c r="Y52" i="1"/>
  <c r="W52" i="1"/>
  <c r="U52" i="1"/>
</calcChain>
</file>

<file path=xl/sharedStrings.xml><?xml version="1.0" encoding="utf-8"?>
<sst xmlns="http://schemas.openxmlformats.org/spreadsheetml/2006/main" count="405" uniqueCount="311">
  <si>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</si>
  <si>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</si>
  <si>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</si>
  <si>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</si>
  <si>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</si>
  <si>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</si>
  <si>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</si>
  <si>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</si>
  <si>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</si>
  <si>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</si>
  <si>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LCSC/MOQ</t>
  </si>
  <si>
    <t>Quantity (Per Board)</t>
  </si>
  <si>
    <t>Remarks</t>
  </si>
  <si>
    <t>Capacitor</t>
  </si>
  <si>
    <t>0.1uF</t>
  </si>
  <si>
    <t>1uF</t>
  </si>
  <si>
    <t>22uF</t>
  </si>
  <si>
    <t>10uF</t>
  </si>
  <si>
    <t>Custom</t>
  </si>
  <si>
    <t>KEMET</t>
  </si>
  <si>
    <t>Diode</t>
  </si>
  <si>
    <t>SS34</t>
  </si>
  <si>
    <t>SMA</t>
  </si>
  <si>
    <t>Inductor</t>
  </si>
  <si>
    <t>L1</t>
  </si>
  <si>
    <t>L2</t>
  </si>
  <si>
    <t>Mosfet</t>
  </si>
  <si>
    <t>Q1, Q2, Q3</t>
  </si>
  <si>
    <t>Resistor</t>
  </si>
  <si>
    <t>R4</t>
  </si>
  <si>
    <t>R6</t>
  </si>
  <si>
    <t>C149662</t>
  </si>
  <si>
    <t>CR1206FR050P05R</t>
  </si>
  <si>
    <t>100K</t>
  </si>
  <si>
    <t>U1</t>
  </si>
  <si>
    <t>U2</t>
  </si>
  <si>
    <t>U3</t>
  </si>
  <si>
    <t>U4</t>
  </si>
  <si>
    <t>U8</t>
  </si>
  <si>
    <t>U6</t>
  </si>
  <si>
    <t>U7</t>
  </si>
  <si>
    <t>J1</t>
  </si>
  <si>
    <t>J6</t>
  </si>
  <si>
    <t xml:space="preserve">Total Component Cost </t>
  </si>
  <si>
    <t>Single Board Cost</t>
  </si>
  <si>
    <t xml:space="preserve">Bill of Material (BOM) for Refrence Formate </t>
  </si>
  <si>
    <t xml:space="preserve">CAP CER 0.1UF 50V X7R 0402
</t>
  </si>
  <si>
    <t>0402</t>
  </si>
  <si>
    <t>04025C104KAT2A</t>
  </si>
  <si>
    <t xml:space="preserve">KYOCERA AVX
</t>
  </si>
  <si>
    <t>Ceramic Capacitor,100nF,10V,0603</t>
  </si>
  <si>
    <r>
      <t>C2, C17, C18, C19, C23, C24, C25, C26, C27, C28,C4, C8, C12, C20, C21, C22,</t>
    </r>
    <r>
      <rPr>
        <sz val="10"/>
        <color rgb="FFFF0000"/>
        <rFont val="Calibri"/>
        <family val="2"/>
        <scheme val="minor"/>
      </rPr>
      <t>Ce1,Ce2,Ce3,C31,C4</t>
    </r>
  </si>
  <si>
    <t>0603</t>
  </si>
  <si>
    <t>CC0603KRX7R6BB104</t>
  </si>
  <si>
    <t>YAGEO</t>
  </si>
  <si>
    <t>Ceramic Capacitor,22uF,10V,0805,X5R</t>
  </si>
  <si>
    <t>C3, C9, C13, C14, C15</t>
  </si>
  <si>
    <t>0805</t>
  </si>
  <si>
    <t>0805X226M100NT</t>
  </si>
  <si>
    <t>Tantalum capacitor 10uF 10V, CASE-A_3216</t>
  </si>
  <si>
    <t>C5, C6</t>
  </si>
  <si>
    <t>CASE-A_3216</t>
  </si>
  <si>
    <t>CA45-106K010AT</t>
  </si>
  <si>
    <t xml:space="preserve">CAP CER 100PF 50V C0G 0603
</t>
  </si>
  <si>
    <t>C7</t>
  </si>
  <si>
    <t>CGA3E2C0G1H101JT0Y0N</t>
  </si>
  <si>
    <t xml:space="preserve">TDK </t>
  </si>
  <si>
    <t xml:space="preserve">Walsin </t>
  </si>
  <si>
    <t xml:space="preserve">CAP TANT 150UF 10% 10V 2917
</t>
  </si>
  <si>
    <t>C11</t>
  </si>
  <si>
    <t>CASE-D_7343</t>
  </si>
  <si>
    <t>T495D157K010ATE100</t>
  </si>
  <si>
    <t xml:space="preserve">CAP CER 10000PF 25V X7R 0603
</t>
  </si>
  <si>
    <t>C16</t>
  </si>
  <si>
    <t>06033C103JAT4A</t>
  </si>
  <si>
    <t xml:space="preserve">KYOCERA </t>
  </si>
  <si>
    <t xml:space="preserve">CAP CER 1UF 25V X5R 0603
</t>
  </si>
  <si>
    <t>Ce4</t>
  </si>
  <si>
    <t xml:space="preserve">TMK107BLD105KA-T
</t>
  </si>
  <si>
    <t xml:space="preserve">Taiyo Yuden
</t>
  </si>
  <si>
    <t>Ceramic Capacitor,22pF,50V,0603</t>
  </si>
  <si>
    <t>C29, C30</t>
  </si>
  <si>
    <t>FN18N220J500PSG</t>
  </si>
  <si>
    <t>D1, D9, D10</t>
  </si>
  <si>
    <t xml:space="preserve">onsemi
</t>
  </si>
  <si>
    <t xml:space="preserve">TVS DIODE 5VWM 12.3VC SOD923
</t>
  </si>
  <si>
    <t>D2, D3, D4</t>
  </si>
  <si>
    <t>SOD-923-2</t>
  </si>
  <si>
    <t>ESD9X5.0ST5G</t>
  </si>
  <si>
    <t>onsemi</t>
  </si>
  <si>
    <t>Led Zpower Warm White 3000K 2SMD</t>
  </si>
  <si>
    <t>D5, D6, D7, D8</t>
  </si>
  <si>
    <t>SMD/SMT</t>
  </si>
  <si>
    <t>N42180-06-S2</t>
  </si>
  <si>
    <t xml:space="preserve">Seoul Semiconductor
</t>
  </si>
  <si>
    <t>Fuse</t>
  </si>
  <si>
    <t xml:space="preserve">6V 3.5A 1.5s SMD PTC Resettable Fuses </t>
  </si>
  <si>
    <t>F1, F2</t>
  </si>
  <si>
    <t>SMD1206B200TF</t>
  </si>
  <si>
    <t>4.7uH ±20% 4A 26mΩ SMD,6x6x4.2mm Power Inductors RoHS</t>
  </si>
  <si>
    <t>SMD,6x6x4.2mm</t>
  </si>
  <si>
    <t>HPC6045NF-4R7MTH</t>
  </si>
  <si>
    <t>1uH ±20% 18A 3mΩ 10.0*11.5*4.0 Power Inductors RoHS</t>
  </si>
  <si>
    <t>10.0*11.5*4.0</t>
  </si>
  <si>
    <t>MCS1040-1R0MN1</t>
  </si>
  <si>
    <t xml:space="preserve"> 
10uH ±20% 500mA 320mΩ 0805 Inductors (SMD)</t>
  </si>
  <si>
    <t>L3</t>
  </si>
  <si>
    <t>MGFL2012F100MT-LF</t>
  </si>
  <si>
    <t>LED</t>
  </si>
  <si>
    <t>LED, Red, Untinted, Diffused</t>
  </si>
  <si>
    <t>LED1</t>
  </si>
  <si>
    <t>Pitch-2.5mm, TH</t>
  </si>
  <si>
    <t>KP DELPS1.FP-UGVI-34-Z555</t>
  </si>
  <si>
    <t xml:space="preserve">KP </t>
  </si>
  <si>
    <t>LED, Green, Untinted, Diffused</t>
  </si>
  <si>
    <t>LED2, LED3, LED4</t>
  </si>
  <si>
    <t xml:space="preserve">OSRAM </t>
  </si>
  <si>
    <t>N-Channel 20V 3A 1.25W (Ta) Surface Mount SOT-23</t>
  </si>
  <si>
    <t>SOT-23</t>
  </si>
  <si>
    <t>SI2302-TP</t>
  </si>
  <si>
    <t xml:space="preserve">Micro </t>
  </si>
  <si>
    <t>Thick Film Resistor - 0.001ohm, 1%, 2512</t>
  </si>
  <si>
    <t>R1</t>
  </si>
  <si>
    <t>2512</t>
  </si>
  <si>
    <t>LR2512D-2W-1mR-1%</t>
  </si>
  <si>
    <t>Thick Film Resistor -  100Kohm, 1%, 0603</t>
  </si>
  <si>
    <t>R2, R19, R20</t>
  </si>
  <si>
    <t>RS-03K1001FT</t>
  </si>
  <si>
    <t>Thick Film Resistor -  1Kohm, 1%, 0603</t>
  </si>
  <si>
    <t>Thick Film Resistor -  33Kohm, 1%, 0603</t>
  </si>
  <si>
    <t>RC0603FR-0733KL</t>
  </si>
  <si>
    <t xml:space="preserve">RES 100 OHM 1% 1/10W 0603
</t>
  </si>
  <si>
    <t>R5</t>
  </si>
  <si>
    <t>RMCF0603FT100R</t>
  </si>
  <si>
    <t xml:space="preserve">Stackpole </t>
  </si>
  <si>
    <t>Thick Film Resistor - 0.05ohm, 1%, 1206</t>
  </si>
  <si>
    <t>1206</t>
  </si>
  <si>
    <t>Thick Film Resistor -  12Kohm, 1%, 0603</t>
  </si>
  <si>
    <t>R9</t>
  </si>
  <si>
    <t>RS-03K123JT</t>
  </si>
  <si>
    <t xml:space="preserve">RES SMD 0.0 JUMPER 1/10W 0603
</t>
  </si>
  <si>
    <t>R10</t>
  </si>
  <si>
    <t>WR06X000 PTL</t>
  </si>
  <si>
    <t>Thick Film Resistor - 10ohm, 1%, 0603</t>
  </si>
  <si>
    <t>R11</t>
  </si>
  <si>
    <t>RS-03K100JT</t>
  </si>
  <si>
    <t xml:space="preserve">RES 10K OHM 5% 1/10W 0603
</t>
  </si>
  <si>
    <r>
      <t>R12, R13, R15, R18,</t>
    </r>
    <r>
      <rPr>
        <sz val="10"/>
        <color rgb="FFFF0000"/>
        <rFont val="Calibri"/>
        <family val="2"/>
        <scheme val="minor"/>
      </rPr>
      <t>RE1,RE2</t>
    </r>
  </si>
  <si>
    <t>RK73B1JTTD103J</t>
  </si>
  <si>
    <t xml:space="preserve">KOA </t>
  </si>
  <si>
    <t xml:space="preserve">RES 41.2K OHM 1% 1/10W 0603
</t>
  </si>
  <si>
    <t>R14</t>
  </si>
  <si>
    <t>RC0603FR-1041K2L</t>
  </si>
  <si>
    <t>Thick Film Resistor -  3.3Kohm, 1%, 0603</t>
  </si>
  <si>
    <t>R21, R22, R23</t>
  </si>
  <si>
    <t>RS-03K3301FT</t>
  </si>
  <si>
    <t>Thick Film Resistor - 0.1ohm, 1%, 0.25W, 1206</t>
  </si>
  <si>
    <t>R24, R25, R26, R27</t>
  </si>
  <si>
    <t>CR1206FR100P05R</t>
  </si>
  <si>
    <t xml:space="preserve">RES SMD 400 OHM 0.1% 1/4W 1206
</t>
  </si>
  <si>
    <t>RE3</t>
  </si>
  <si>
    <t>RT1206BRD07400RL</t>
  </si>
  <si>
    <t>Switch</t>
  </si>
  <si>
    <t>SPST 50mA @ 12VDC Top Actuated Round Button 160gf 4.5*4.5*5 Tactile Switch</t>
  </si>
  <si>
    <t>S1</t>
  </si>
  <si>
    <t>4.5X4.5X5mm_SMD</t>
  </si>
  <si>
    <t>UK-B0206-G5-160-JZ</t>
  </si>
  <si>
    <t>SPST 50mA @ 12VDC Side operation Round Button Through Hole Tactile Switches</t>
  </si>
  <si>
    <t>S2</t>
  </si>
  <si>
    <t>TH</t>
  </si>
  <si>
    <t>SKHHLQA010</t>
  </si>
  <si>
    <t>Crystal</t>
  </si>
  <si>
    <t xml:space="preserve">CRYSTAL 16.0000MHZ 12PF SMD
</t>
  </si>
  <si>
    <t>X1</t>
  </si>
  <si>
    <t>SMD-2520_4P</t>
  </si>
  <si>
    <t>XXDPBISANF-16.000000</t>
  </si>
  <si>
    <t>Taitien</t>
  </si>
  <si>
    <t>IC</t>
  </si>
  <si>
    <t>DW01A battery protection IC SOT-23-6 (Sunrom Product Code 4911)</t>
  </si>
  <si>
    <t>SOT-23-6</t>
  </si>
  <si>
    <t>DW01A</t>
  </si>
  <si>
    <t>QFN-16_4x4x065P PMIC - Battery Management RoHS</t>
  </si>
  <si>
    <t>QFN-16_4x4x065P</t>
  </si>
  <si>
    <t>TP5000-QFN16</t>
  </si>
  <si>
    <t>Dual N-Channel Mosfet TSSOP-8 (Sunrom Product Code 5292)</t>
  </si>
  <si>
    <t>TSSOP-8</t>
  </si>
  <si>
    <t>FS8205A</t>
  </si>
  <si>
    <t xml:space="preserve">IC CURR SENSE 1 CIRCUIT SOT23-6
</t>
  </si>
  <si>
    <t>INA181A3IDBVR</t>
  </si>
  <si>
    <t xml:space="preserve">Texas </t>
  </si>
  <si>
    <t xml:space="preserve">IC REG BOOST 5.1V 6.5A 9VQFN
</t>
  </si>
  <si>
    <t>U5</t>
  </si>
  <si>
    <t>VQFN-9</t>
  </si>
  <si>
    <t>TPS61235PRWLR</t>
  </si>
  <si>
    <t>MICROCHIP - ATMEGA328P-AU. - MICROCONTROLLER MCU, 8 BIT, ATMEGA, 20MHZ, TQFP-32</t>
  </si>
  <si>
    <t>TQFP-32</t>
  </si>
  <si>
    <t>ATMEGA328P-AU</t>
  </si>
  <si>
    <t xml:space="preserve">Microchip </t>
  </si>
  <si>
    <t xml:space="preserve">IC OR CTRLR SRC SELECT 8TSSOP
</t>
  </si>
  <si>
    <t xml:space="preserve">8-TSSOP
</t>
  </si>
  <si>
    <t>TISTPS2111APWR</t>
  </si>
  <si>
    <t xml:space="preserve">IC PWR SWITCH P-CHAN 1:1 4TMLF
</t>
  </si>
  <si>
    <t xml:space="preserve"> 
4-TMLF</t>
  </si>
  <si>
    <t>MIC94082YFT-TR</t>
  </si>
  <si>
    <t xml:space="preserve">Connector </t>
  </si>
  <si>
    <t xml:space="preserve">CONN PWR JACK 2.1X5.5MM SOLDER
</t>
  </si>
  <si>
    <t>694106301002</t>
  </si>
  <si>
    <t xml:space="preserve">Würth </t>
  </si>
  <si>
    <t>USB B-type Female Right Angle PCB Mount</t>
  </si>
  <si>
    <t>J3</t>
  </si>
  <si>
    <t>Sunrom 3966</t>
  </si>
  <si>
    <t xml:space="preserve">CONN RCPT USB2.0 TYPEA 4POS R/A
</t>
  </si>
  <si>
    <t>J4, J5</t>
  </si>
  <si>
    <t>292303-1</t>
  </si>
  <si>
    <t xml:space="preserve">TE </t>
  </si>
  <si>
    <t>Pin Header 6P 2 right-angle, P=2.54mm</t>
  </si>
  <si>
    <t>TH 2.54MM</t>
  </si>
  <si>
    <t>PZ254V-12-6P</t>
  </si>
  <si>
    <t>Quantity 10</t>
  </si>
  <si>
    <t>Quantity 20</t>
  </si>
  <si>
    <t>Quantity 500</t>
  </si>
  <si>
    <t>Quantity 1000</t>
  </si>
  <si>
    <t>Quantity 10000</t>
  </si>
  <si>
    <t>Unit Cost(10)</t>
  </si>
  <si>
    <t>Total Cost(10)</t>
  </si>
  <si>
    <t>C110251</t>
  </si>
  <si>
    <t>0402B104K500NT</t>
  </si>
  <si>
    <t>Unit Cost (20 Boards)</t>
  </si>
  <si>
    <t>Total Cost (20)</t>
  </si>
  <si>
    <t>Unit Cost (500 Boards)</t>
  </si>
  <si>
    <t>Total Cost (500)</t>
  </si>
  <si>
    <t>Unit Cost (1000 Boards)</t>
  </si>
  <si>
    <t>Total Cost (1000)</t>
  </si>
  <si>
    <t>Unit Cost (10000 Boards)</t>
  </si>
  <si>
    <t>Total Cost (10000)</t>
  </si>
  <si>
    <t>C519438</t>
  </si>
  <si>
    <t>-</t>
  </si>
  <si>
    <t>100nF</t>
  </si>
  <si>
    <t>FH</t>
  </si>
  <si>
    <t>C503482</t>
  </si>
  <si>
    <t xml:space="preserve">TANCAP </t>
  </si>
  <si>
    <t>C327722</t>
  </si>
  <si>
    <t>C76709</t>
  </si>
  <si>
    <t>100pF</t>
  </si>
  <si>
    <t>C122324</t>
  </si>
  <si>
    <t>150uF</t>
  </si>
  <si>
    <t>C327204</t>
  </si>
  <si>
    <t>0603F105M250NT</t>
  </si>
  <si>
    <t>C36577</t>
  </si>
  <si>
    <t>10nF</t>
  </si>
  <si>
    <t>PSA</t>
  </si>
  <si>
    <t>C525244</t>
  </si>
  <si>
    <t>22pF</t>
  </si>
  <si>
    <t>C8678</t>
  </si>
  <si>
    <t xml:space="preserve">Brightking </t>
  </si>
  <si>
    <t>C269122</t>
  </si>
  <si>
    <t>TAI-TECH</t>
  </si>
  <si>
    <t>C304373</t>
  </si>
  <si>
    <t>C559447</t>
  </si>
  <si>
    <t xml:space="preserve">microgate </t>
  </si>
  <si>
    <t>C281113</t>
  </si>
  <si>
    <t>C77977</t>
  </si>
  <si>
    <t xml:space="preserve">Milliohm </t>
  </si>
  <si>
    <t>C500612</t>
  </si>
  <si>
    <t>C115325</t>
  </si>
  <si>
    <t>1k</t>
  </si>
  <si>
    <t>C126359</t>
  </si>
  <si>
    <t>33k</t>
  </si>
  <si>
    <t xml:space="preserve">Ever </t>
  </si>
  <si>
    <r>
      <t>R3, R7, R16, R17,</t>
    </r>
    <r>
      <rPr>
        <sz val="10"/>
        <color rgb="FFFF0000"/>
        <rFont val="Calibri"/>
        <family val="2"/>
        <scheme val="minor"/>
      </rPr>
      <t>R29,</t>
    </r>
    <r>
      <rPr>
        <sz val="10"/>
        <color theme="1"/>
        <rFont val="Calibri"/>
        <family val="2"/>
        <scheme val="minor"/>
      </rPr>
      <t>R8</t>
    </r>
  </si>
  <si>
    <t>C1,C10</t>
  </si>
  <si>
    <t xml:space="preserve">DIODE SCHOTTKY 40V 3A SMC
</t>
  </si>
  <si>
    <t>C217683</t>
  </si>
  <si>
    <t>ARG03FTC1000</t>
  </si>
  <si>
    <t>C465460</t>
  </si>
  <si>
    <t xml:space="preserve">CR-03JA7----0R
</t>
  </si>
  <si>
    <t>C304686</t>
  </si>
  <si>
    <t>0.001Ω</t>
  </si>
  <si>
    <t>100Ω</t>
  </si>
  <si>
    <t>0.05Ω</t>
  </si>
  <si>
    <t>0Ω</t>
  </si>
  <si>
    <t>10Ω</t>
  </si>
  <si>
    <t>C103210</t>
  </si>
  <si>
    <t>RTT03103JTP</t>
  </si>
  <si>
    <t>10k</t>
  </si>
  <si>
    <t>C403211</t>
  </si>
  <si>
    <t>ERJ3EKF4122V</t>
  </si>
  <si>
    <t>41.2K</t>
  </si>
  <si>
    <t>C118393</t>
  </si>
  <si>
    <t>3.3K</t>
  </si>
  <si>
    <t>C149672</t>
  </si>
  <si>
    <t>0.1Ω</t>
  </si>
  <si>
    <t>C706413</t>
  </si>
  <si>
    <t>400Ω</t>
  </si>
  <si>
    <t xml:space="preserve">USAKRO </t>
  </si>
  <si>
    <t>C620330</t>
  </si>
  <si>
    <t xml:space="preserve">ALPSALPINE </t>
  </si>
  <si>
    <t>C125034</t>
  </si>
  <si>
    <t xml:space="preserve">PUOLOP </t>
  </si>
  <si>
    <t>C351410</t>
  </si>
  <si>
    <t>TOPPOWER</t>
  </si>
  <si>
    <t>C51699</t>
  </si>
  <si>
    <t xml:space="preserve">Fortune </t>
  </si>
  <si>
    <t>C16052</t>
  </si>
  <si>
    <t>C14877</t>
  </si>
  <si>
    <t xml:space="preserve">Sunrom </t>
  </si>
  <si>
    <t xml:space="preserve">XFCN </t>
  </si>
  <si>
    <t>C492420</t>
  </si>
  <si>
    <t xml:space="preserve">RS-03K1001FT
</t>
  </si>
  <si>
    <t xml:space="preserve">R8,wala part b same ha is lye merge kr dia 1 part no me </t>
  </si>
  <si>
    <t xml:space="preserve">C10,wala part b same ha is lye merge kr dia 1 part no 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</si>
</sst>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00"/>
    <numFmt numFmtId="165" formatCode="&quot;$&quot;#,##0.00"/>
    <numFmt numFmtId="166" formatCode="_-[$$-409]* #,##0.00_ ;_-[$$-409]* \-#,##0.00\ ;_-[$$-409]* &quot;-&quot;??_ ;_-@_ "/>
    <numFmt numFmtId="167" formatCode="&quot;$&quot;#,##0.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11"/>
      <color rgb="FF444444"/>
      <name val="Arial"/>
      <family val="2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4" fillId="3" borderId="3" xfId="0" quotePrefix="1" applyFont="1" applyFill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Font="1"/>
    <xf numFmtId="0" fontId="4" fillId="0" borderId="7" xfId="0" quotePrefix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3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/>
    </xf>
    <xf numFmtId="166" fontId="7" fillId="3" borderId="4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7" xfId="0" quotePrefix="1" applyFont="1" applyFill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66" fontId="7" fillId="3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5" fillId="0" borderId="0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top" wrapText="1"/>
    </xf>
    <xf numFmtId="0" fontId="0" fillId="5" borderId="0" xfId="0" applyFill="1"/>
    <xf numFmtId="0" fontId="2" fillId="2" borderId="14" xfId="0" applyFont="1" applyFill="1" applyBorder="1" applyAlignment="1">
      <alignment horizontal="center" vertical="center"/>
    </xf>
    <xf numFmtId="0" fontId="5" fillId="0" borderId="0" xfId="0" applyFont="1"/>
    <xf numFmtId="165" fontId="5" fillId="0" borderId="0" xfId="0" applyNumberFormat="1" applyFont="1"/>
    <xf numFmtId="0" fontId="11" fillId="5" borderId="0" xfId="0" applyFont="1" applyFill="1" applyAlignment="1">
      <alignment horizontal="left" vertical="top" wrapText="1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7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 vertical="center"/>
    </xf>
    <xf numFmtId="164" fontId="9" fillId="0" borderId="7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5" fillId="3" borderId="11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left"/>
    </xf>
    <xf numFmtId="0" fontId="5" fillId="3" borderId="3" xfId="0" quotePrefix="1" applyFont="1" applyFill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left" vertical="center"/>
    </xf>
    <xf numFmtId="0" fontId="5" fillId="3" borderId="7" xfId="0" quotePrefix="1" applyFont="1" applyFill="1" applyBorder="1" applyAlignment="1">
      <alignment horizontal="center" wrapText="1"/>
    </xf>
    <xf numFmtId="0" fontId="5" fillId="0" borderId="7" xfId="0" quotePrefix="1" applyFont="1" applyBorder="1" applyAlignment="1">
      <alignment horizontal="center"/>
    </xf>
    <xf numFmtId="0" fontId="5" fillId="0" borderId="6" xfId="0" quotePrefix="1" applyFont="1" applyBorder="1" applyAlignment="1">
      <alignment horizontal="left"/>
    </xf>
    <xf numFmtId="0" fontId="5" fillId="3" borderId="7" xfId="0" quotePrefix="1" applyFont="1" applyFill="1" applyBorder="1" applyAlignment="1">
      <alignment horizontal="center"/>
    </xf>
    <xf numFmtId="0" fontId="4" fillId="0" borderId="7" xfId="0" quotePrefix="1" applyFont="1" applyBorder="1" applyAlignment="1">
      <alignment horizontal="center" vertical="center" wrapText="1"/>
    </xf>
    <xf numFmtId="0" fontId="12" fillId="3" borderId="7" xfId="0" quotePrefix="1" applyFont="1" applyFill="1" applyBorder="1" applyAlignment="1">
      <alignment horizontal="center"/>
    </xf>
    <xf numFmtId="0" fontId="5" fillId="0" borderId="10" xfId="0" quotePrefix="1" applyFont="1" applyBorder="1" applyAlignment="1">
      <alignment horizontal="left"/>
    </xf>
    <xf numFmtId="0" fontId="5" fillId="3" borderId="11" xfId="0" quotePrefix="1" applyFont="1" applyFill="1" applyBorder="1" applyAlignment="1">
      <alignment horizontal="center"/>
    </xf>
    <xf numFmtId="0" fontId="5" fillId="0" borderId="11" xfId="0" quotePrefix="1" applyFont="1" applyBorder="1" applyAlignment="1">
      <alignment horizontal="center"/>
    </xf>
    <xf numFmtId="0" fontId="4" fillId="0" borderId="11" xfId="0" quotePrefix="1" applyFont="1" applyBorder="1" applyAlignment="1">
      <alignment horizontal="center" vertical="center" wrapText="1"/>
    </xf>
    <xf numFmtId="0" fontId="5" fillId="0" borderId="2" xfId="0" quotePrefix="1" applyFont="1" applyBorder="1"/>
    <xf numFmtId="0" fontId="5" fillId="0" borderId="6" xfId="0" quotePrefix="1" applyFont="1" applyBorder="1" applyAlignment="1"/>
    <xf numFmtId="0" fontId="5" fillId="0" borderId="10" xfId="0" quotePrefix="1" applyFont="1" applyBorder="1"/>
    <xf numFmtId="0" fontId="5" fillId="0" borderId="6" xfId="0" quotePrefix="1" applyFont="1" applyBorder="1"/>
    <xf numFmtId="0" fontId="5" fillId="0" borderId="17" xfId="0" quotePrefix="1" applyFont="1" applyBorder="1"/>
    <xf numFmtId="0" fontId="5" fillId="3" borderId="18" xfId="0" quotePrefix="1" applyFont="1" applyFill="1" applyBorder="1" applyAlignment="1">
      <alignment horizontal="center"/>
    </xf>
    <xf numFmtId="0" fontId="5" fillId="0" borderId="18" xfId="0" quotePrefix="1" applyFont="1" applyBorder="1" applyAlignment="1">
      <alignment horizontal="center"/>
    </xf>
    <xf numFmtId="0" fontId="5" fillId="0" borderId="18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13" fillId="3" borderId="7" xfId="0" quotePrefix="1" applyFont="1" applyFill="1" applyBorder="1" applyAlignment="1">
      <alignment horizontal="center"/>
    </xf>
    <xf numFmtId="0" fontId="5" fillId="0" borderId="10" xfId="0" quotePrefix="1" applyFont="1" applyBorder="1" applyAlignment="1"/>
    <xf numFmtId="0" fontId="12" fillId="3" borderId="11" xfId="0" quotePrefix="1" applyFont="1" applyFill="1" applyBorder="1" applyAlignment="1">
      <alignment horizontal="center"/>
    </xf>
    <xf numFmtId="0" fontId="4" fillId="0" borderId="6" xfId="0" quotePrefix="1" applyFont="1" applyBorder="1" applyAlignment="1">
      <alignment horizontal="left"/>
    </xf>
    <xf numFmtId="0" fontId="4" fillId="3" borderId="7" xfId="0" quotePrefix="1" applyFont="1" applyFill="1" applyBorder="1" applyAlignment="1">
      <alignment horizontal="center"/>
    </xf>
    <xf numFmtId="0" fontId="4" fillId="0" borderId="10" xfId="0" quotePrefix="1" applyFont="1" applyBorder="1" applyAlignment="1">
      <alignment horizontal="left"/>
    </xf>
    <xf numFmtId="0" fontId="4" fillId="3" borderId="11" xfId="0" quotePrefix="1" applyFont="1" applyFill="1" applyBorder="1" applyAlignment="1">
      <alignment horizontal="center"/>
    </xf>
    <xf numFmtId="0" fontId="5" fillId="0" borderId="2" xfId="0" quotePrefix="1" applyFont="1" applyBorder="1" applyAlignment="1"/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18" xfId="0" quotePrefix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 wrapText="1"/>
    </xf>
    <xf numFmtId="0" fontId="5" fillId="3" borderId="18" xfId="0" quotePrefix="1" applyFont="1" applyFill="1" applyBorder="1" applyAlignment="1">
      <alignment horizontal="center" vertical="center"/>
    </xf>
    <xf numFmtId="0" fontId="5" fillId="0" borderId="18" xfId="0" quotePrefix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8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64" fontId="4" fillId="3" borderId="18" xfId="0" applyNumberFormat="1" applyFont="1" applyFill="1" applyBorder="1" applyAlignment="1">
      <alignment horizontal="center" vertical="center"/>
    </xf>
    <xf numFmtId="164" fontId="5" fillId="3" borderId="18" xfId="0" applyNumberFormat="1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/>
    <xf numFmtId="0" fontId="5" fillId="3" borderId="2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4" fillId="3" borderId="19" xfId="0" quotePrefix="1" applyFont="1" applyFill="1" applyBorder="1" applyAlignment="1">
      <alignment horizontal="center" vertical="center"/>
    </xf>
    <xf numFmtId="0" fontId="5" fillId="0" borderId="24" xfId="0" quotePrefix="1" applyFont="1" applyBorder="1" applyAlignment="1"/>
    <xf numFmtId="164" fontId="4" fillId="0" borderId="19" xfId="0" applyNumberFormat="1" applyFont="1" applyFill="1" applyBorder="1" applyAlignment="1">
      <alignment horizontal="center" vertical="center"/>
    </xf>
    <xf numFmtId="0" fontId="5" fillId="0" borderId="17" xfId="0" quotePrefix="1" applyFont="1" applyBorder="1" applyAlignment="1">
      <alignment horizontal="left" vertical="center"/>
    </xf>
    <xf numFmtId="0" fontId="4" fillId="0" borderId="18" xfId="0" quotePrefix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3" borderId="6" xfId="0" quotePrefix="1" applyFont="1" applyFill="1" applyBorder="1"/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3" borderId="0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5" fillId="3" borderId="7" xfId="0" applyFont="1" applyFill="1" applyBorder="1"/>
    <xf numFmtId="0" fontId="5" fillId="0" borderId="19" xfId="0" quotePrefix="1" applyFont="1" applyBorder="1" applyAlignment="1">
      <alignment horizontal="center"/>
    </xf>
    <xf numFmtId="0" fontId="5" fillId="4" borderId="1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tabSelected="1" topLeftCell="I7" zoomScale="98" zoomScaleNormal="98" workbookViewId="0">
      <selection activeCell="X6" sqref="X6"/>
    </sheetView>
  </sheetViews>
  <sheetFormatPr defaultRowHeight="15" x14ac:dyDescent="0.25"/>
  <cols>
    <col min="1" max="1" width="6.140625" style="36" bestFit="1" customWidth="1"/>
    <col min="2" max="2" width="14.42578125" customWidth="1"/>
    <col min="3" max="3" width="47.5703125" customWidth="1"/>
    <col min="4" max="4" width="41" bestFit="1" customWidth="1"/>
    <col min="5" max="5" width="21" bestFit="1" customWidth="1"/>
    <col min="6" max="6" width="29" bestFit="1" customWidth="1"/>
    <col min="7" max="7" width="19.140625" bestFit="1" customWidth="1"/>
    <col min="8" max="8" width="14.42578125" customWidth="1"/>
    <col min="9" max="9" width="21.5703125" bestFit="1" customWidth="1"/>
    <col min="10" max="10" width="9" bestFit="1" customWidth="1"/>
    <col min="11" max="11" width="11.5703125" bestFit="1" customWidth="1"/>
    <col min="12" max="12" width="21.85546875" bestFit="1" customWidth="1"/>
    <col min="13" max="13" width="12.85546875" bestFit="1" customWidth="1"/>
    <col min="14" max="14" width="12.85546875" customWidth="1"/>
    <col min="15" max="15" width="14.140625" bestFit="1" customWidth="1"/>
    <col min="16" max="16" width="15.28515625" bestFit="1" customWidth="1"/>
    <col min="17" max="17" width="16.42578125" bestFit="1" customWidth="1"/>
    <col min="18" max="18" width="14" bestFit="1" customWidth="1"/>
    <col min="19" max="19" width="14.85546875" bestFit="1" customWidth="1"/>
    <col min="20" max="20" width="22.28515625" bestFit="1" customWidth="1"/>
    <col min="21" max="21" width="15.42578125" bestFit="1" customWidth="1"/>
    <col min="22" max="22" width="23.42578125" bestFit="1" customWidth="1"/>
    <col min="23" max="23" width="16.5703125" bestFit="1" customWidth="1"/>
    <col min="24" max="24" width="24.5703125" bestFit="1" customWidth="1"/>
    <col min="25" max="25" width="17.85546875" bestFit="1" customWidth="1"/>
    <col min="26" max="26" width="24.5703125" bestFit="1" customWidth="1"/>
    <col min="27" max="27" width="19.140625" bestFit="1" customWidth="1"/>
    <col min="28" max="28" width="49.28515625" bestFit="1" customWidth="1"/>
  </cols>
  <sheetData>
    <row r="1" spans="1:30" ht="16.5" thickBot="1" x14ac:dyDescent="0.3">
      <c r="A1" s="154" t="s">
        <v>45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6"/>
    </row>
    <row r="2" spans="1:30" ht="16.5" thickBot="1" x14ac:dyDescent="0.3">
      <c r="A2" s="40" t="s">
        <v>0</v>
      </c>
      <c r="B2" s="49" t="s">
        <v>1</v>
      </c>
      <c r="C2" s="50" t="s">
        <v>2</v>
      </c>
      <c r="D2" s="50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  <c r="J2" s="50" t="s">
        <v>9</v>
      </c>
      <c r="K2" s="50" t="s">
        <v>10</v>
      </c>
      <c r="L2" s="50" t="s">
        <v>11</v>
      </c>
      <c r="M2" s="50" t="s">
        <v>218</v>
      </c>
      <c r="N2" s="50" t="s">
        <v>219</v>
      </c>
      <c r="O2" s="50" t="s">
        <v>220</v>
      </c>
      <c r="P2" s="50" t="s">
        <v>221</v>
      </c>
      <c r="Q2" s="50" t="s">
        <v>222</v>
      </c>
      <c r="R2" s="46" t="s">
        <v>223</v>
      </c>
      <c r="S2" s="46" t="s">
        <v>224</v>
      </c>
      <c r="T2" s="46" t="s">
        <v>227</v>
      </c>
      <c r="U2" s="47" t="s">
        <v>228</v>
      </c>
      <c r="V2" s="46" t="s">
        <v>229</v>
      </c>
      <c r="W2" s="47" t="s">
        <v>230</v>
      </c>
      <c r="X2" s="46" t="s">
        <v>231</v>
      </c>
      <c r="Y2" s="47" t="s">
        <v>232</v>
      </c>
      <c r="Z2" s="46" t="s">
        <v>233</v>
      </c>
      <c r="AA2" s="47" t="s">
        <v>234</v>
      </c>
      <c r="AB2" s="50" t="s">
        <v>12</v>
      </c>
    </row>
    <row r="3" spans="1:30" ht="15.75" thickBot="1" x14ac:dyDescent="0.3">
      <c r="A3" s="48">
        <v>1</v>
      </c>
      <c r="B3" s="158" t="s">
        <v>13</v>
      </c>
      <c r="C3" s="72" t="s">
        <v>46</v>
      </c>
      <c r="D3" s="73" t="s">
        <v>270</v>
      </c>
      <c r="E3" s="74" t="s">
        <v>47</v>
      </c>
      <c r="F3" s="24" t="s">
        <v>48</v>
      </c>
      <c r="G3" s="2" t="s">
        <v>49</v>
      </c>
      <c r="H3" s="69" t="s">
        <v>225</v>
      </c>
      <c r="I3" s="67" t="s">
        <v>226</v>
      </c>
      <c r="J3" s="2" t="s">
        <v>14</v>
      </c>
      <c r="K3" s="4">
        <v>50</v>
      </c>
      <c r="L3" s="103">
        <v>1</v>
      </c>
      <c r="M3" s="4">
        <v>50</v>
      </c>
      <c r="N3" s="4">
        <v>50</v>
      </c>
      <c r="O3" s="4">
        <v>550</v>
      </c>
      <c r="P3" s="4">
        <v>1100</v>
      </c>
      <c r="Q3" s="4">
        <v>10500</v>
      </c>
      <c r="R3" s="51">
        <v>9.7999999999999997E-3</v>
      </c>
      <c r="S3" s="5">
        <f>R3*M3</f>
        <v>0.49</v>
      </c>
      <c r="T3" s="51">
        <v>8.6999999999999994E-3</v>
      </c>
      <c r="U3" s="5">
        <f>T3*N3</f>
        <v>0.43499999999999994</v>
      </c>
      <c r="V3" s="5">
        <v>5.4000000000000003E-3</v>
      </c>
      <c r="W3" s="5">
        <f>V3*O3</f>
        <v>2.97</v>
      </c>
      <c r="X3" s="5">
        <v>3.5400000000000001E-2</v>
      </c>
      <c r="Y3" s="5">
        <f>X3*P3</f>
        <v>38.94</v>
      </c>
      <c r="Z3" s="5">
        <v>4.4999999999999997E-3</v>
      </c>
      <c r="AA3" s="5">
        <f>Z3*Q3</f>
        <v>47.249999999999993</v>
      </c>
      <c r="AB3" s="141" t="s">
        <v>310</v>
      </c>
      <c r="AC3" s="7"/>
      <c r="AD3" s="7"/>
    </row>
    <row r="4" spans="1:30" ht="39.75" thickBot="1" x14ac:dyDescent="0.3">
      <c r="A4" s="48">
        <v>2</v>
      </c>
      <c r="B4" s="151"/>
      <c r="C4" s="75" t="s">
        <v>50</v>
      </c>
      <c r="D4" s="76" t="s">
        <v>51</v>
      </c>
      <c r="E4" s="30" t="s">
        <v>52</v>
      </c>
      <c r="F4" s="14" t="s">
        <v>53</v>
      </c>
      <c r="G4" s="8" t="s">
        <v>54</v>
      </c>
      <c r="H4" s="59" t="s">
        <v>235</v>
      </c>
      <c r="I4" s="59" t="s">
        <v>236</v>
      </c>
      <c r="J4" s="8" t="s">
        <v>237</v>
      </c>
      <c r="K4" s="10">
        <v>50</v>
      </c>
      <c r="L4" s="10">
        <v>21</v>
      </c>
      <c r="M4" s="10">
        <v>250</v>
      </c>
      <c r="N4" s="10">
        <v>500</v>
      </c>
      <c r="O4" s="10">
        <v>11000</v>
      </c>
      <c r="P4" s="10">
        <v>22000</v>
      </c>
      <c r="Q4" s="10">
        <v>220000</v>
      </c>
      <c r="R4" s="52">
        <v>1.5699999999999999E-2</v>
      </c>
      <c r="S4" s="11">
        <f>R4*M4</f>
        <v>3.9249999999999998</v>
      </c>
      <c r="T4" s="53">
        <v>3.9600000000000003E-2</v>
      </c>
      <c r="U4" s="11">
        <f>T4*N4</f>
        <v>19.8</v>
      </c>
      <c r="V4" s="11">
        <v>4.1999999999999997E-3</v>
      </c>
      <c r="W4" s="11">
        <f>V4*O4</f>
        <v>46.199999999999996</v>
      </c>
      <c r="X4" s="11">
        <v>4.1999999999999997E-3</v>
      </c>
      <c r="Y4" s="11">
        <f>X4*P4</f>
        <v>92.399999999999991</v>
      </c>
      <c r="Z4" s="11">
        <v>4.0000000000000001E-3</v>
      </c>
      <c r="AA4" s="11">
        <f>Z4*Q4</f>
        <v>880</v>
      </c>
      <c r="AB4" s="12"/>
      <c r="AC4" s="7"/>
      <c r="AD4" s="7"/>
    </row>
    <row r="5" spans="1:30" ht="15.75" thickBot="1" x14ac:dyDescent="0.3">
      <c r="A5" s="48">
        <v>3</v>
      </c>
      <c r="B5" s="151"/>
      <c r="C5" s="78" t="s">
        <v>55</v>
      </c>
      <c r="D5" s="79" t="s">
        <v>56</v>
      </c>
      <c r="E5" s="77" t="s">
        <v>57</v>
      </c>
      <c r="F5" s="14" t="s">
        <v>58</v>
      </c>
      <c r="G5" s="8" t="s">
        <v>238</v>
      </c>
      <c r="H5" s="59" t="s">
        <v>239</v>
      </c>
      <c r="I5" s="60" t="s">
        <v>236</v>
      </c>
      <c r="J5" s="8" t="s">
        <v>16</v>
      </c>
      <c r="K5" s="10">
        <v>20</v>
      </c>
      <c r="L5" s="104">
        <v>5</v>
      </c>
      <c r="M5" s="10">
        <v>60</v>
      </c>
      <c r="N5" s="10">
        <v>120</v>
      </c>
      <c r="O5" s="10">
        <v>2650</v>
      </c>
      <c r="P5" s="10">
        <v>5300</v>
      </c>
      <c r="Q5" s="10">
        <v>52000</v>
      </c>
      <c r="R5" s="52">
        <v>6.1800000000000001E-2</v>
      </c>
      <c r="S5" s="11">
        <f>R5*M5</f>
        <v>3.7080000000000002</v>
      </c>
      <c r="T5" s="52">
        <v>5.1799999999999999E-2</v>
      </c>
      <c r="U5" s="11">
        <f>T5*N5</f>
        <v>6.2160000000000002</v>
      </c>
      <c r="V5" s="11">
        <v>1.9900000000000001E-2</v>
      </c>
      <c r="W5" s="11">
        <f>V5*O5</f>
        <v>52.734999999999999</v>
      </c>
      <c r="X5" s="11">
        <v>4.9799999999999997E-2</v>
      </c>
      <c r="Y5" s="11">
        <f>X5*P5</f>
        <v>263.94</v>
      </c>
      <c r="Z5" s="11">
        <v>1.8800000000000001E-2</v>
      </c>
      <c r="AA5" s="11">
        <f>Z5*Q5</f>
        <v>977.6</v>
      </c>
      <c r="AB5" s="12"/>
      <c r="AC5" s="7"/>
      <c r="AD5" s="7"/>
    </row>
    <row r="6" spans="1:30" ht="15.75" thickBot="1" x14ac:dyDescent="0.3">
      <c r="A6" s="48">
        <v>4</v>
      </c>
      <c r="B6" s="151"/>
      <c r="C6" s="78" t="s">
        <v>59</v>
      </c>
      <c r="D6" s="79" t="s">
        <v>60</v>
      </c>
      <c r="E6" s="77" t="s">
        <v>61</v>
      </c>
      <c r="F6" s="14" t="s">
        <v>62</v>
      </c>
      <c r="G6" s="8" t="s">
        <v>240</v>
      </c>
      <c r="H6" s="59" t="s">
        <v>241</v>
      </c>
      <c r="I6" s="60" t="s">
        <v>236</v>
      </c>
      <c r="J6" s="8" t="s">
        <v>17</v>
      </c>
      <c r="K6" s="10">
        <v>5</v>
      </c>
      <c r="L6" s="104">
        <v>2</v>
      </c>
      <c r="M6" s="10">
        <v>25</v>
      </c>
      <c r="N6" s="10">
        <v>45</v>
      </c>
      <c r="O6" s="10">
        <v>1050</v>
      </c>
      <c r="P6" s="10">
        <v>2100</v>
      </c>
      <c r="Q6" s="10">
        <v>21000</v>
      </c>
      <c r="R6" s="108">
        <v>0.50749999999999995</v>
      </c>
      <c r="S6" s="11">
        <f>R6*M6</f>
        <v>12.687499999999998</v>
      </c>
      <c r="T6" s="108">
        <v>0.1575</v>
      </c>
      <c r="U6" s="11">
        <f>T6*N6</f>
        <v>7.0875000000000004</v>
      </c>
      <c r="V6" s="11">
        <v>8.7999999999999995E-2</v>
      </c>
      <c r="W6" s="11">
        <f>V6*O6</f>
        <v>92.399999999999991</v>
      </c>
      <c r="X6" s="11">
        <v>7.6399999999999996E-2</v>
      </c>
      <c r="Y6" s="11">
        <f>X6*P6</f>
        <v>160.44</v>
      </c>
      <c r="Z6" s="11">
        <v>7.3899999999999993E-2</v>
      </c>
      <c r="AA6" s="11">
        <f>Z6*Q6</f>
        <v>1551.8999999999999</v>
      </c>
      <c r="AB6" s="12"/>
      <c r="AC6" s="7"/>
      <c r="AD6" s="7"/>
    </row>
    <row r="7" spans="1:30" ht="15.75" thickBot="1" x14ac:dyDescent="0.3">
      <c r="A7" s="48">
        <v>5</v>
      </c>
      <c r="B7" s="151"/>
      <c r="C7" s="78" t="s">
        <v>63</v>
      </c>
      <c r="D7" s="79" t="s">
        <v>64</v>
      </c>
      <c r="E7" s="77" t="s">
        <v>52</v>
      </c>
      <c r="F7" s="14" t="s">
        <v>65</v>
      </c>
      <c r="G7" s="8" t="s">
        <v>66</v>
      </c>
      <c r="H7" s="59" t="s">
        <v>242</v>
      </c>
      <c r="I7" s="60" t="s">
        <v>236</v>
      </c>
      <c r="J7" s="13" t="s">
        <v>243</v>
      </c>
      <c r="K7" s="61">
        <v>50</v>
      </c>
      <c r="L7" s="104">
        <v>1</v>
      </c>
      <c r="M7" s="10">
        <v>50</v>
      </c>
      <c r="N7" s="10">
        <v>50</v>
      </c>
      <c r="O7" s="10">
        <v>550</v>
      </c>
      <c r="P7" s="10">
        <v>1050</v>
      </c>
      <c r="Q7" s="10">
        <v>10500</v>
      </c>
      <c r="R7" s="62">
        <v>0.1159</v>
      </c>
      <c r="S7" s="11">
        <f>R7*M7</f>
        <v>5.7949999999999999</v>
      </c>
      <c r="T7" s="62">
        <v>1.5900000000000001E-2</v>
      </c>
      <c r="U7" s="11">
        <f>T7*N7</f>
        <v>0.79500000000000004</v>
      </c>
      <c r="V7" s="63">
        <v>1.3899999999999999E-2</v>
      </c>
      <c r="W7" s="11">
        <f>V7*O7</f>
        <v>7.6449999999999996</v>
      </c>
      <c r="X7" s="63">
        <v>8.9800000000000005E-2</v>
      </c>
      <c r="Y7" s="11">
        <f>X7*P7</f>
        <v>94.29</v>
      </c>
      <c r="Z7" s="63">
        <v>4.58E-2</v>
      </c>
      <c r="AA7" s="11">
        <f>Z7*Q7</f>
        <v>480.9</v>
      </c>
      <c r="AB7" s="33"/>
      <c r="AC7" s="7"/>
      <c r="AD7" s="7"/>
    </row>
    <row r="8" spans="1:30" ht="15.75" thickBot="1" x14ac:dyDescent="0.3">
      <c r="A8" s="48">
        <v>6</v>
      </c>
      <c r="B8" s="151"/>
      <c r="C8" s="78" t="s">
        <v>68</v>
      </c>
      <c r="D8" s="79" t="s">
        <v>69</v>
      </c>
      <c r="E8" s="77" t="s">
        <v>70</v>
      </c>
      <c r="F8" s="14" t="s">
        <v>71</v>
      </c>
      <c r="G8" s="8" t="s">
        <v>19</v>
      </c>
      <c r="H8" s="59" t="s">
        <v>244</v>
      </c>
      <c r="I8" s="59" t="s">
        <v>236</v>
      </c>
      <c r="J8" s="8" t="s">
        <v>245</v>
      </c>
      <c r="K8" s="10">
        <v>1</v>
      </c>
      <c r="L8" s="104">
        <v>1</v>
      </c>
      <c r="M8" s="10">
        <f t="shared" ref="M8:M38" si="0">ROUND(L8*10*1.15,0)</f>
        <v>12</v>
      </c>
      <c r="N8" s="10">
        <f t="shared" ref="N8:N38" si="1">ROUND(L8*20*1.15,0)</f>
        <v>23</v>
      </c>
      <c r="O8" s="10">
        <v>525</v>
      </c>
      <c r="P8" s="10">
        <v>1050</v>
      </c>
      <c r="Q8" s="10">
        <v>10200</v>
      </c>
      <c r="R8" s="53">
        <v>0.76459999999999995</v>
      </c>
      <c r="S8" s="11">
        <f>R8*M8</f>
        <v>9.1752000000000002</v>
      </c>
      <c r="T8" s="53">
        <v>0.76459999999999995</v>
      </c>
      <c r="U8" s="11">
        <f>T8*N8</f>
        <v>17.585799999999999</v>
      </c>
      <c r="V8" s="11">
        <v>0.66549999999999998</v>
      </c>
      <c r="W8" s="11">
        <f>V8*O8</f>
        <v>349.38749999999999</v>
      </c>
      <c r="X8" s="11">
        <v>0.65869999999999995</v>
      </c>
      <c r="Y8" s="11">
        <f>X8*P8</f>
        <v>691.63499999999999</v>
      </c>
      <c r="Z8" s="11">
        <v>0.65639999999999998</v>
      </c>
      <c r="AA8" s="11">
        <f>Z8*Q8</f>
        <v>6695.28</v>
      </c>
      <c r="AB8" s="12"/>
      <c r="AC8" s="7"/>
      <c r="AD8" s="7"/>
    </row>
    <row r="9" spans="1:30" ht="15.75" thickBot="1" x14ac:dyDescent="0.3">
      <c r="A9" s="48">
        <v>7</v>
      </c>
      <c r="B9" s="151"/>
      <c r="C9" s="78" t="s">
        <v>72</v>
      </c>
      <c r="D9" s="79" t="s">
        <v>73</v>
      </c>
      <c r="E9" s="77" t="s">
        <v>52</v>
      </c>
      <c r="F9" s="14" t="s">
        <v>74</v>
      </c>
      <c r="G9" s="80" t="s">
        <v>75</v>
      </c>
      <c r="H9" s="59" t="s">
        <v>246</v>
      </c>
      <c r="I9" s="164"/>
      <c r="J9" s="29" t="s">
        <v>249</v>
      </c>
      <c r="K9" s="32">
        <v>50</v>
      </c>
      <c r="L9" s="104">
        <v>1</v>
      </c>
      <c r="M9" s="10">
        <v>50</v>
      </c>
      <c r="N9" s="10">
        <v>50</v>
      </c>
      <c r="O9" s="10">
        <v>550</v>
      </c>
      <c r="P9" s="10">
        <v>1100</v>
      </c>
      <c r="Q9" s="10">
        <v>10500</v>
      </c>
      <c r="R9" s="55">
        <v>5.4899999999999997E-2</v>
      </c>
      <c r="S9" s="11">
        <f>R9*M9</f>
        <v>2.7449999999999997</v>
      </c>
      <c r="T9" s="57">
        <v>4.8999999999999998E-3</v>
      </c>
      <c r="U9" s="11">
        <f>T9*N9</f>
        <v>0.245</v>
      </c>
      <c r="V9" s="56">
        <v>3.8999999999999998E-3</v>
      </c>
      <c r="W9" s="11">
        <f>V9*O9</f>
        <v>2.145</v>
      </c>
      <c r="X9" s="56">
        <v>6.5500000000000003E-2</v>
      </c>
      <c r="Y9" s="11">
        <f>X9*P9</f>
        <v>72.05</v>
      </c>
      <c r="Z9" s="56">
        <v>2.3599999999999999E-2</v>
      </c>
      <c r="AA9" s="11">
        <f>Z9*Q9</f>
        <v>247.79999999999998</v>
      </c>
      <c r="AB9" s="58"/>
      <c r="AC9" s="7"/>
      <c r="AD9" s="7"/>
    </row>
    <row r="10" spans="1:30" ht="15.75" thickBot="1" x14ac:dyDescent="0.3">
      <c r="A10" s="48">
        <v>8</v>
      </c>
      <c r="B10" s="151"/>
      <c r="C10" s="78" t="s">
        <v>76</v>
      </c>
      <c r="D10" s="81" t="s">
        <v>77</v>
      </c>
      <c r="E10" s="77" t="s">
        <v>52</v>
      </c>
      <c r="F10" s="14" t="s">
        <v>78</v>
      </c>
      <c r="G10" s="8" t="s">
        <v>79</v>
      </c>
      <c r="H10" s="59" t="s">
        <v>248</v>
      </c>
      <c r="I10" s="61" t="s">
        <v>247</v>
      </c>
      <c r="J10" s="29" t="s">
        <v>15</v>
      </c>
      <c r="K10" s="32">
        <v>50</v>
      </c>
      <c r="L10" s="104">
        <v>1</v>
      </c>
      <c r="M10" s="10">
        <v>50</v>
      </c>
      <c r="N10" s="10">
        <v>50</v>
      </c>
      <c r="O10" s="10">
        <v>600</v>
      </c>
      <c r="P10" s="10">
        <v>1050</v>
      </c>
      <c r="Q10" s="10">
        <v>10500</v>
      </c>
      <c r="R10" s="55">
        <v>2.8500000000000001E-2</v>
      </c>
      <c r="S10" s="11">
        <f>R10*M10</f>
        <v>1.425</v>
      </c>
      <c r="T10" s="57">
        <v>7.6799999999999993E-2</v>
      </c>
      <c r="U10" s="11">
        <f>T10*N10</f>
        <v>3.84</v>
      </c>
      <c r="V10" s="56">
        <v>0.55000000000000004</v>
      </c>
      <c r="W10" s="11">
        <f>V10*O10</f>
        <v>330</v>
      </c>
      <c r="X10" s="56">
        <v>4.6600000000000003E-2</v>
      </c>
      <c r="Y10" s="11">
        <f>X10*P10</f>
        <v>48.93</v>
      </c>
      <c r="Z10" s="56">
        <v>7.4099999999999999E-2</v>
      </c>
      <c r="AA10" s="11">
        <f>Z10*Q10</f>
        <v>778.05</v>
      </c>
      <c r="AB10" s="58"/>
      <c r="AC10" s="7"/>
      <c r="AD10" s="7"/>
    </row>
    <row r="11" spans="1:30" ht="15.75" thickBot="1" x14ac:dyDescent="0.3">
      <c r="A11" s="48">
        <v>9</v>
      </c>
      <c r="B11" s="152"/>
      <c r="C11" s="82" t="s">
        <v>80</v>
      </c>
      <c r="D11" s="83" t="s">
        <v>81</v>
      </c>
      <c r="E11" s="84" t="s">
        <v>52</v>
      </c>
      <c r="F11" s="19" t="s">
        <v>82</v>
      </c>
      <c r="G11" s="85" t="s">
        <v>250</v>
      </c>
      <c r="H11" s="109" t="s">
        <v>251</v>
      </c>
      <c r="I11" s="66" t="s">
        <v>236</v>
      </c>
      <c r="J11" s="17" t="s">
        <v>252</v>
      </c>
      <c r="K11" s="20">
        <v>100</v>
      </c>
      <c r="L11" s="105">
        <v>2</v>
      </c>
      <c r="M11" s="20">
        <v>100</v>
      </c>
      <c r="N11" s="20">
        <v>100</v>
      </c>
      <c r="O11" s="20">
        <v>1200</v>
      </c>
      <c r="P11" s="20">
        <v>2200</v>
      </c>
      <c r="Q11" s="20">
        <v>21000</v>
      </c>
      <c r="R11" s="54">
        <v>3.0999999999999999E-3</v>
      </c>
      <c r="S11" s="21">
        <f>R11*M11</f>
        <v>0.31</v>
      </c>
      <c r="T11" s="54">
        <v>3.0999999999999999E-3</v>
      </c>
      <c r="U11" s="21">
        <f>T11*N11</f>
        <v>0.31</v>
      </c>
      <c r="V11" s="21">
        <v>2.3E-3</v>
      </c>
      <c r="W11" s="21">
        <f>V11*O11</f>
        <v>2.76</v>
      </c>
      <c r="X11" s="21">
        <v>8.2299999999999998E-2</v>
      </c>
      <c r="Y11" s="21">
        <f>X11*P11</f>
        <v>181.06</v>
      </c>
      <c r="Z11" s="21">
        <v>5.45E-2</v>
      </c>
      <c r="AA11" s="21">
        <f>Z11*Q11</f>
        <v>1144.5</v>
      </c>
      <c r="AB11" s="22"/>
      <c r="AC11" s="7"/>
      <c r="AD11" s="7"/>
    </row>
    <row r="12" spans="1:30" ht="15.75" thickBot="1" x14ac:dyDescent="0.3">
      <c r="A12" s="48">
        <v>10</v>
      </c>
      <c r="B12" s="158" t="s">
        <v>20</v>
      </c>
      <c r="C12" s="102" t="s">
        <v>271</v>
      </c>
      <c r="D12" s="73" t="s">
        <v>83</v>
      </c>
      <c r="E12" s="74" t="s">
        <v>22</v>
      </c>
      <c r="F12" s="24" t="s">
        <v>21</v>
      </c>
      <c r="G12" s="2" t="s">
        <v>84</v>
      </c>
      <c r="H12" s="69" t="s">
        <v>253</v>
      </c>
      <c r="I12" s="68" t="s">
        <v>236</v>
      </c>
      <c r="J12" s="2" t="s">
        <v>236</v>
      </c>
      <c r="K12" s="4">
        <v>10</v>
      </c>
      <c r="L12" s="3">
        <v>3</v>
      </c>
      <c r="M12" s="4">
        <v>40</v>
      </c>
      <c r="N12" s="4">
        <v>70</v>
      </c>
      <c r="O12" s="4">
        <v>1600</v>
      </c>
      <c r="P12" s="4">
        <v>3200</v>
      </c>
      <c r="Q12" s="4">
        <v>31500</v>
      </c>
      <c r="R12" s="51">
        <v>6.5799999999999997E-2</v>
      </c>
      <c r="S12" s="5">
        <f>R12*M12</f>
        <v>2.6319999999999997</v>
      </c>
      <c r="T12" s="51">
        <v>6.5799999999999997E-2</v>
      </c>
      <c r="U12" s="5">
        <f>T12*N12</f>
        <v>4.6059999999999999</v>
      </c>
      <c r="V12" s="5">
        <v>8.8999999999999996E-2</v>
      </c>
      <c r="W12" s="5">
        <f>V12*O12</f>
        <v>142.4</v>
      </c>
      <c r="X12" s="5">
        <v>4.7500000000000001E-2</v>
      </c>
      <c r="Y12" s="5">
        <f>X12*P12</f>
        <v>152</v>
      </c>
      <c r="Z12" s="5">
        <v>3.8300000000000001E-2</v>
      </c>
      <c r="AA12" s="5">
        <f>Z12*Q12</f>
        <v>1206.45</v>
      </c>
      <c r="AB12" s="25"/>
      <c r="AC12" s="7"/>
      <c r="AD12" s="7"/>
    </row>
    <row r="13" spans="1:30" ht="15.75" thickBot="1" x14ac:dyDescent="0.3">
      <c r="A13" s="48">
        <v>11</v>
      </c>
      <c r="B13" s="151"/>
      <c r="C13" s="87" t="s">
        <v>85</v>
      </c>
      <c r="D13" s="79" t="s">
        <v>86</v>
      </c>
      <c r="E13" s="77" t="s">
        <v>87</v>
      </c>
      <c r="F13" s="14" t="s">
        <v>88</v>
      </c>
      <c r="G13" s="8" t="s">
        <v>89</v>
      </c>
      <c r="H13" s="59" t="s">
        <v>236</v>
      </c>
      <c r="I13" s="60" t="s">
        <v>236</v>
      </c>
      <c r="J13" s="8" t="s">
        <v>236</v>
      </c>
      <c r="K13" s="10">
        <v>10</v>
      </c>
      <c r="L13" s="9">
        <v>3</v>
      </c>
      <c r="M13" s="10">
        <f t="shared" si="0"/>
        <v>35</v>
      </c>
      <c r="N13" s="10">
        <v>70</v>
      </c>
      <c r="O13" s="10">
        <v>1600</v>
      </c>
      <c r="P13" s="10">
        <v>3100</v>
      </c>
      <c r="Q13" s="10">
        <v>30500</v>
      </c>
      <c r="R13" s="52">
        <v>3.6850000000000001E-2</v>
      </c>
      <c r="S13" s="11">
        <f>R13*M13</f>
        <v>1.28975</v>
      </c>
      <c r="T13" s="52">
        <v>3.6850000000000001E-2</v>
      </c>
      <c r="U13" s="11">
        <f>T13*N13</f>
        <v>2.5794999999999999</v>
      </c>
      <c r="V13" s="11">
        <v>2.3619999999999999E-2</v>
      </c>
      <c r="W13" s="11">
        <f>V13*O13</f>
        <v>37.791999999999994</v>
      </c>
      <c r="X13" s="11">
        <v>2.9659999999999999E-2</v>
      </c>
      <c r="Y13" s="11">
        <f>X13*P13</f>
        <v>91.945999999999998</v>
      </c>
      <c r="Z13" s="11">
        <v>2.2440000000000002E-2</v>
      </c>
      <c r="AA13" s="11">
        <f>Z13*Q13</f>
        <v>684.42000000000007</v>
      </c>
      <c r="AB13" s="12"/>
      <c r="AC13" s="7"/>
      <c r="AD13" s="7"/>
    </row>
    <row r="14" spans="1:30" ht="15.75" thickBot="1" x14ac:dyDescent="0.3">
      <c r="A14" s="48">
        <v>12</v>
      </c>
      <c r="B14" s="152"/>
      <c r="C14" s="88" t="s">
        <v>90</v>
      </c>
      <c r="D14" s="83" t="s">
        <v>91</v>
      </c>
      <c r="E14" s="84" t="s">
        <v>92</v>
      </c>
      <c r="F14" s="19" t="s">
        <v>93</v>
      </c>
      <c r="G14" s="17" t="s">
        <v>94</v>
      </c>
      <c r="H14" s="65"/>
      <c r="I14" s="66"/>
      <c r="J14" s="17"/>
      <c r="K14" s="20"/>
      <c r="L14" s="18">
        <v>4</v>
      </c>
      <c r="M14" s="20">
        <f t="shared" si="0"/>
        <v>46</v>
      </c>
      <c r="N14" s="20">
        <f t="shared" si="1"/>
        <v>92</v>
      </c>
      <c r="O14" s="20">
        <f t="shared" ref="O14:O38" si="2">ROUND(L14*500*1.15,0)</f>
        <v>2300</v>
      </c>
      <c r="P14" s="20">
        <f t="shared" ref="P14:P38" si="3">ROUND(L14*1000*1.15,0)</f>
        <v>4600</v>
      </c>
      <c r="Q14" s="20">
        <f t="shared" ref="Q14:Q38" si="4">ROUND(L14*10000*1.15,0)</f>
        <v>46000</v>
      </c>
      <c r="R14" s="54"/>
      <c r="S14" s="21">
        <f>R14*M14</f>
        <v>0</v>
      </c>
      <c r="T14" s="54"/>
      <c r="U14" s="21">
        <f>T14*N14</f>
        <v>0</v>
      </c>
      <c r="V14" s="21"/>
      <c r="W14" s="21">
        <f>V14*O14</f>
        <v>0</v>
      </c>
      <c r="X14" s="21"/>
      <c r="Y14" s="21">
        <f>X14*P14</f>
        <v>0</v>
      </c>
      <c r="Z14" s="21"/>
      <c r="AA14" s="21">
        <f>Z14*Q14</f>
        <v>0</v>
      </c>
      <c r="AB14" s="22"/>
      <c r="AC14" s="7"/>
      <c r="AD14" s="7"/>
    </row>
    <row r="15" spans="1:30" ht="15.75" thickBot="1" x14ac:dyDescent="0.3">
      <c r="A15" s="48">
        <v>13</v>
      </c>
      <c r="B15" s="71" t="s">
        <v>95</v>
      </c>
      <c r="C15" s="90" t="s">
        <v>96</v>
      </c>
      <c r="D15" s="91" t="s">
        <v>97</v>
      </c>
      <c r="E15" s="114" t="s">
        <v>18</v>
      </c>
      <c r="F15" s="93" t="s">
        <v>98</v>
      </c>
      <c r="G15" s="94" t="s">
        <v>254</v>
      </c>
      <c r="H15" s="115" t="s">
        <v>255</v>
      </c>
      <c r="I15" s="116" t="s">
        <v>236</v>
      </c>
      <c r="J15" s="117" t="s">
        <v>236</v>
      </c>
      <c r="K15" s="118">
        <v>10</v>
      </c>
      <c r="L15" s="107">
        <v>2</v>
      </c>
      <c r="M15" s="118">
        <v>20</v>
      </c>
      <c r="N15" s="118">
        <v>50</v>
      </c>
      <c r="O15" s="118">
        <v>1050</v>
      </c>
      <c r="P15" s="118">
        <v>2100</v>
      </c>
      <c r="Q15" s="118">
        <v>21000</v>
      </c>
      <c r="R15" s="119">
        <v>4.5499999999999999E-2</v>
      </c>
      <c r="S15" s="120">
        <f>R15*M15</f>
        <v>0.90999999999999992</v>
      </c>
      <c r="T15" s="119">
        <v>4.5499999999999999E-2</v>
      </c>
      <c r="U15" s="120">
        <f>T15*N15</f>
        <v>2.2749999999999999</v>
      </c>
      <c r="V15" s="120">
        <v>3.1899999999999998E-2</v>
      </c>
      <c r="W15" s="120">
        <f>V15*O15</f>
        <v>33.494999999999997</v>
      </c>
      <c r="X15" s="120">
        <v>5.8400000000000001E-2</v>
      </c>
      <c r="Y15" s="120">
        <f>X15*P15</f>
        <v>122.64</v>
      </c>
      <c r="Z15" s="120">
        <v>2.9899999999999999E-2</v>
      </c>
      <c r="AA15" s="120">
        <f>Z15*Q15</f>
        <v>627.9</v>
      </c>
      <c r="AB15" s="134"/>
      <c r="AC15" s="7"/>
      <c r="AD15" s="7"/>
    </row>
    <row r="16" spans="1:30" ht="15.75" thickBot="1" x14ac:dyDescent="0.3">
      <c r="A16" s="48">
        <v>14</v>
      </c>
      <c r="B16" s="158" t="s">
        <v>23</v>
      </c>
      <c r="C16" s="86" t="s">
        <v>99</v>
      </c>
      <c r="D16" s="73" t="s">
        <v>24</v>
      </c>
      <c r="E16" s="74" t="s">
        <v>100</v>
      </c>
      <c r="F16" s="24" t="s">
        <v>101</v>
      </c>
      <c r="G16" s="27" t="s">
        <v>256</v>
      </c>
      <c r="H16" s="1" t="s">
        <v>257</v>
      </c>
      <c r="I16" s="1" t="s">
        <v>236</v>
      </c>
      <c r="J16" s="23" t="s">
        <v>236</v>
      </c>
      <c r="K16" s="110">
        <v>5</v>
      </c>
      <c r="L16" s="103">
        <v>1</v>
      </c>
      <c r="M16" s="4">
        <v>10</v>
      </c>
      <c r="N16" s="4">
        <v>25</v>
      </c>
      <c r="O16" s="4">
        <v>525</v>
      </c>
      <c r="P16" s="4">
        <v>1050</v>
      </c>
      <c r="Q16" s="4">
        <v>10500</v>
      </c>
      <c r="R16" s="111">
        <v>8.0799999999999997E-2</v>
      </c>
      <c r="S16" s="5">
        <f>R16*M16</f>
        <v>0.80799999999999994</v>
      </c>
      <c r="T16" s="111">
        <v>8.0799999999999997E-2</v>
      </c>
      <c r="U16" s="5">
        <f>T16*N16</f>
        <v>2.02</v>
      </c>
      <c r="V16" s="112">
        <v>5.4899999999999997E-2</v>
      </c>
      <c r="W16" s="5">
        <f>V16*O16</f>
        <v>28.822499999999998</v>
      </c>
      <c r="X16" s="112">
        <v>9.5200000000000007E-2</v>
      </c>
      <c r="Y16" s="5">
        <f>X16*P16</f>
        <v>99.960000000000008</v>
      </c>
      <c r="Z16" s="112">
        <v>5.1900000000000002E-2</v>
      </c>
      <c r="AA16" s="5">
        <f>Z16*Q16</f>
        <v>544.95000000000005</v>
      </c>
      <c r="AB16" s="113"/>
      <c r="AC16" s="7"/>
      <c r="AD16" s="7"/>
    </row>
    <row r="17" spans="1:30" ht="15.75" thickBot="1" x14ac:dyDescent="0.3">
      <c r="A17" s="48">
        <v>15</v>
      </c>
      <c r="B17" s="151"/>
      <c r="C17" s="89" t="s">
        <v>102</v>
      </c>
      <c r="D17" s="79" t="s">
        <v>25</v>
      </c>
      <c r="E17" s="77" t="s">
        <v>103</v>
      </c>
      <c r="F17" s="14" t="s">
        <v>104</v>
      </c>
      <c r="G17" s="30" t="s">
        <v>250</v>
      </c>
      <c r="H17" s="70" t="s">
        <v>258</v>
      </c>
      <c r="I17" s="61" t="s">
        <v>236</v>
      </c>
      <c r="J17" s="8" t="s">
        <v>236</v>
      </c>
      <c r="K17" s="10">
        <v>1</v>
      </c>
      <c r="L17" s="104">
        <v>1</v>
      </c>
      <c r="M17" s="10">
        <f t="shared" si="0"/>
        <v>12</v>
      </c>
      <c r="N17" s="10">
        <v>22</v>
      </c>
      <c r="O17" s="10">
        <v>520</v>
      </c>
      <c r="P17" s="10">
        <v>1050</v>
      </c>
      <c r="Q17" s="10">
        <v>10200</v>
      </c>
      <c r="R17" s="52">
        <v>0.16919999999999999</v>
      </c>
      <c r="S17" s="11">
        <f>R17*M17</f>
        <v>2.0303999999999998</v>
      </c>
      <c r="T17" s="52">
        <v>0.18920000000000001</v>
      </c>
      <c r="U17" s="11">
        <f>T17*N17</f>
        <v>4.1623999999999999</v>
      </c>
      <c r="V17" s="11">
        <v>0.128</v>
      </c>
      <c r="W17" s="11">
        <f>V17*O17</f>
        <v>66.56</v>
      </c>
      <c r="X17" s="11">
        <v>0.19650000000000001</v>
      </c>
      <c r="Y17" s="11">
        <f>X17*P17</f>
        <v>206.32500000000002</v>
      </c>
      <c r="Z17" s="11">
        <v>0.12609999999999999</v>
      </c>
      <c r="AA17" s="11">
        <f>Z17*Q17</f>
        <v>1286.2199999999998</v>
      </c>
      <c r="AB17" s="34"/>
      <c r="AC17" s="7"/>
      <c r="AD17" s="7"/>
    </row>
    <row r="18" spans="1:30" ht="15.75" thickBot="1" x14ac:dyDescent="0.3">
      <c r="A18" s="48">
        <v>16</v>
      </c>
      <c r="B18" s="152"/>
      <c r="C18" s="88" t="s">
        <v>105</v>
      </c>
      <c r="D18" s="83" t="s">
        <v>106</v>
      </c>
      <c r="E18" s="84" t="s">
        <v>57</v>
      </c>
      <c r="F18" s="19" t="s">
        <v>107</v>
      </c>
      <c r="G18" s="17" t="s">
        <v>259</v>
      </c>
      <c r="H18" s="64" t="s">
        <v>260</v>
      </c>
      <c r="I18" s="65" t="s">
        <v>236</v>
      </c>
      <c r="J18" s="17" t="s">
        <v>236</v>
      </c>
      <c r="K18" s="20">
        <v>10</v>
      </c>
      <c r="L18" s="105">
        <v>1</v>
      </c>
      <c r="M18" s="20">
        <v>10</v>
      </c>
      <c r="N18" s="20">
        <v>20</v>
      </c>
      <c r="O18" s="20">
        <v>550</v>
      </c>
      <c r="P18" s="20">
        <v>1050</v>
      </c>
      <c r="Q18" s="20">
        <v>10500</v>
      </c>
      <c r="R18" s="54">
        <v>4.9299999999999997E-2</v>
      </c>
      <c r="S18" s="21">
        <f>R18*M18</f>
        <v>0.49299999999999999</v>
      </c>
      <c r="T18" s="54">
        <v>4.9299999999999997E-2</v>
      </c>
      <c r="U18" s="21">
        <f>T18*N18</f>
        <v>0.98599999999999999</v>
      </c>
      <c r="V18" s="21">
        <v>3.7600000000000001E-2</v>
      </c>
      <c r="W18" s="21">
        <f>V18*O18</f>
        <v>20.68</v>
      </c>
      <c r="X18" s="21">
        <v>4.6600000000000003E-2</v>
      </c>
      <c r="Y18" s="21">
        <f>X18*P18</f>
        <v>48.93</v>
      </c>
      <c r="Z18" s="21">
        <v>3.4500000000000003E-2</v>
      </c>
      <c r="AA18" s="21">
        <f>Z18*Q18</f>
        <v>362.25000000000006</v>
      </c>
      <c r="AB18" s="22"/>
      <c r="AC18" s="7"/>
      <c r="AD18" s="7"/>
    </row>
    <row r="19" spans="1:30" ht="15.75" thickBot="1" x14ac:dyDescent="0.3">
      <c r="A19" s="48">
        <v>17</v>
      </c>
      <c r="B19" s="158" t="s">
        <v>108</v>
      </c>
      <c r="C19" s="86" t="s">
        <v>109</v>
      </c>
      <c r="D19" s="73" t="s">
        <v>110</v>
      </c>
      <c r="E19" s="74" t="s">
        <v>111</v>
      </c>
      <c r="F19" s="24" t="s">
        <v>112</v>
      </c>
      <c r="G19" s="2" t="s">
        <v>113</v>
      </c>
      <c r="H19" s="69"/>
      <c r="I19" s="67"/>
      <c r="J19" s="2"/>
      <c r="K19" s="4"/>
      <c r="L19" s="103">
        <v>1</v>
      </c>
      <c r="M19" s="4">
        <f t="shared" si="0"/>
        <v>12</v>
      </c>
      <c r="N19" s="4">
        <f t="shared" si="1"/>
        <v>23</v>
      </c>
      <c r="O19" s="4">
        <f t="shared" si="2"/>
        <v>575</v>
      </c>
      <c r="P19" s="4">
        <f t="shared" si="3"/>
        <v>1150</v>
      </c>
      <c r="Q19" s="4">
        <f t="shared" si="4"/>
        <v>11500</v>
      </c>
      <c r="R19" s="51"/>
      <c r="S19" s="5">
        <f>R19*M19</f>
        <v>0</v>
      </c>
      <c r="T19" s="51"/>
      <c r="U19" s="5">
        <f>T19*N19</f>
        <v>0</v>
      </c>
      <c r="V19" s="5"/>
      <c r="W19" s="5">
        <f>V19*O19</f>
        <v>0</v>
      </c>
      <c r="X19" s="5"/>
      <c r="Y19" s="5">
        <f>X19*P19</f>
        <v>0</v>
      </c>
      <c r="Z19" s="5"/>
      <c r="AA19" s="5">
        <f>Z19*Q19</f>
        <v>0</v>
      </c>
      <c r="AB19" s="6"/>
      <c r="AC19" s="7"/>
      <c r="AD19" s="7"/>
    </row>
    <row r="20" spans="1:30" ht="15.75" thickBot="1" x14ac:dyDescent="0.3">
      <c r="A20" s="48">
        <v>18</v>
      </c>
      <c r="B20" s="152"/>
      <c r="C20" s="88" t="s">
        <v>114</v>
      </c>
      <c r="D20" s="83" t="s">
        <v>115</v>
      </c>
      <c r="E20" s="84" t="s">
        <v>111</v>
      </c>
      <c r="F20" s="19" t="s">
        <v>112</v>
      </c>
      <c r="G20" s="17" t="s">
        <v>116</v>
      </c>
      <c r="H20" s="109"/>
      <c r="I20" s="109"/>
      <c r="J20" s="17"/>
      <c r="K20" s="20"/>
      <c r="L20" s="105">
        <v>3</v>
      </c>
      <c r="M20" s="20">
        <f t="shared" si="0"/>
        <v>35</v>
      </c>
      <c r="N20" s="20">
        <f t="shared" si="1"/>
        <v>69</v>
      </c>
      <c r="O20" s="20">
        <f t="shared" si="2"/>
        <v>1725</v>
      </c>
      <c r="P20" s="20">
        <f t="shared" si="3"/>
        <v>3450</v>
      </c>
      <c r="Q20" s="20">
        <f t="shared" si="4"/>
        <v>34500</v>
      </c>
      <c r="R20" s="54"/>
      <c r="S20" s="21">
        <f>R20*M20</f>
        <v>0</v>
      </c>
      <c r="T20" s="54"/>
      <c r="U20" s="21">
        <f>T20*N20</f>
        <v>0</v>
      </c>
      <c r="V20" s="21"/>
      <c r="W20" s="21">
        <f>V20*O20</f>
        <v>0</v>
      </c>
      <c r="X20" s="21"/>
      <c r="Y20" s="21">
        <f>X20*P20</f>
        <v>0</v>
      </c>
      <c r="Z20" s="21"/>
      <c r="AA20" s="21">
        <f>Z20*Q20</f>
        <v>0</v>
      </c>
      <c r="AB20" s="22"/>
      <c r="AC20" s="7"/>
      <c r="AD20" s="7"/>
    </row>
    <row r="21" spans="1:30" ht="15.75" thickBot="1" x14ac:dyDescent="0.3">
      <c r="A21" s="48">
        <v>19</v>
      </c>
      <c r="B21" s="71" t="s">
        <v>26</v>
      </c>
      <c r="C21" s="90" t="s">
        <v>117</v>
      </c>
      <c r="D21" s="91" t="s">
        <v>27</v>
      </c>
      <c r="E21" s="92" t="s">
        <v>118</v>
      </c>
      <c r="F21" s="93" t="s">
        <v>119</v>
      </c>
      <c r="G21" s="94" t="s">
        <v>120</v>
      </c>
      <c r="H21" s="121" t="s">
        <v>261</v>
      </c>
      <c r="I21" s="115" t="s">
        <v>236</v>
      </c>
      <c r="J21" s="122" t="s">
        <v>236</v>
      </c>
      <c r="K21" s="123">
        <v>10</v>
      </c>
      <c r="L21" s="106">
        <v>3</v>
      </c>
      <c r="M21" s="118">
        <v>30</v>
      </c>
      <c r="N21" s="118">
        <v>70</v>
      </c>
      <c r="O21" s="118">
        <v>1600</v>
      </c>
      <c r="P21" s="118">
        <v>3150</v>
      </c>
      <c r="Q21" s="118">
        <v>31500</v>
      </c>
      <c r="R21" s="124">
        <v>5.3699999999999998E-2</v>
      </c>
      <c r="S21" s="120">
        <f>R21*M21</f>
        <v>1.611</v>
      </c>
      <c r="T21" s="124">
        <v>5.3699999999999998E-2</v>
      </c>
      <c r="U21" s="120">
        <f>T21*N21</f>
        <v>3.7589999999999999</v>
      </c>
      <c r="V21" s="125">
        <v>3.5799999999999998E-2</v>
      </c>
      <c r="W21" s="120">
        <f>V21*O21</f>
        <v>57.28</v>
      </c>
      <c r="X21" s="125">
        <v>9.98E-2</v>
      </c>
      <c r="Y21" s="120">
        <f>X21*P21</f>
        <v>314.37</v>
      </c>
      <c r="Z21" s="125">
        <v>3.4200000000000001E-2</v>
      </c>
      <c r="AA21" s="120">
        <f>Z21*Q21</f>
        <v>1077.3</v>
      </c>
      <c r="AB21" s="135"/>
      <c r="AC21" s="7"/>
      <c r="AD21" s="7"/>
    </row>
    <row r="22" spans="1:30" ht="15.75" thickBot="1" x14ac:dyDescent="0.3">
      <c r="A22" s="48">
        <v>20</v>
      </c>
      <c r="B22" s="158" t="s">
        <v>28</v>
      </c>
      <c r="C22" s="86" t="s">
        <v>121</v>
      </c>
      <c r="D22" s="73" t="s">
        <v>122</v>
      </c>
      <c r="E22" s="74" t="s">
        <v>123</v>
      </c>
      <c r="F22" s="24" t="s">
        <v>124</v>
      </c>
      <c r="G22" s="2" t="s">
        <v>262</v>
      </c>
      <c r="H22" s="69" t="s">
        <v>263</v>
      </c>
      <c r="I22" s="1" t="s">
        <v>236</v>
      </c>
      <c r="J22" s="2" t="s">
        <v>277</v>
      </c>
      <c r="K22" s="4">
        <v>5</v>
      </c>
      <c r="L22" s="103">
        <v>1</v>
      </c>
      <c r="M22" s="4">
        <f t="shared" si="0"/>
        <v>12</v>
      </c>
      <c r="N22" s="4">
        <v>25</v>
      </c>
      <c r="O22" s="4">
        <v>525</v>
      </c>
      <c r="P22" s="4">
        <v>1050</v>
      </c>
      <c r="Q22" s="4">
        <v>10500</v>
      </c>
      <c r="R22" s="51">
        <v>0.1138</v>
      </c>
      <c r="S22" s="5">
        <f>R22*M22</f>
        <v>1.3655999999999999</v>
      </c>
      <c r="T22" s="51">
        <v>0.1138</v>
      </c>
      <c r="U22" s="5">
        <f>T22*N22</f>
        <v>2.8449999999999998</v>
      </c>
      <c r="V22" s="5">
        <v>7.1900000000000006E-2</v>
      </c>
      <c r="W22" s="5">
        <f>V22*O22</f>
        <v>37.747500000000002</v>
      </c>
      <c r="X22" s="5">
        <v>7.8899999999999998E-2</v>
      </c>
      <c r="Y22" s="5">
        <f>X22*P22</f>
        <v>82.844999999999999</v>
      </c>
      <c r="Z22" s="5">
        <v>6.7500000000000004E-2</v>
      </c>
      <c r="AA22" s="5">
        <f>Z22*Q22</f>
        <v>708.75</v>
      </c>
      <c r="AB22" s="6"/>
      <c r="AC22" s="7"/>
      <c r="AD22" s="7"/>
    </row>
    <row r="23" spans="1:30" ht="15.75" thickBot="1" x14ac:dyDescent="0.3">
      <c r="A23" s="48">
        <v>21</v>
      </c>
      <c r="B23" s="151"/>
      <c r="C23" s="89" t="s">
        <v>125</v>
      </c>
      <c r="D23" s="79" t="s">
        <v>126</v>
      </c>
      <c r="E23" s="77" t="s">
        <v>52</v>
      </c>
      <c r="F23" s="14" t="s">
        <v>308</v>
      </c>
      <c r="G23" s="8" t="s">
        <v>238</v>
      </c>
      <c r="H23" s="59" t="s">
        <v>264</v>
      </c>
      <c r="I23" s="13" t="s">
        <v>236</v>
      </c>
      <c r="J23" s="31" t="s">
        <v>33</v>
      </c>
      <c r="K23" s="8">
        <v>100</v>
      </c>
      <c r="L23" s="104">
        <v>3</v>
      </c>
      <c r="M23" s="10">
        <v>100</v>
      </c>
      <c r="N23" s="10">
        <v>100</v>
      </c>
      <c r="O23" s="10">
        <v>1600</v>
      </c>
      <c r="P23" s="10">
        <v>3200</v>
      </c>
      <c r="Q23" s="10">
        <v>32000</v>
      </c>
      <c r="R23" s="52">
        <v>1.2999999999999999E-3</v>
      </c>
      <c r="S23" s="11">
        <f>R23*M23</f>
        <v>0.13</v>
      </c>
      <c r="T23" s="52">
        <v>4.1599999999999998E-2</v>
      </c>
      <c r="U23" s="11">
        <f>T23*N23</f>
        <v>4.16</v>
      </c>
      <c r="V23" s="11">
        <v>2.8000000000000001E-2</v>
      </c>
      <c r="W23" s="11">
        <f>V23*O23</f>
        <v>44.800000000000004</v>
      </c>
      <c r="X23" s="11">
        <v>3.8999999999999998E-3</v>
      </c>
      <c r="Y23" s="11">
        <f>X23*P23</f>
        <v>12.479999999999999</v>
      </c>
      <c r="Z23" s="11">
        <v>3.2000000000000002E-3</v>
      </c>
      <c r="AA23" s="11">
        <f>Z23*Q23</f>
        <v>102.4</v>
      </c>
      <c r="AB23" s="12"/>
      <c r="AC23" s="7"/>
      <c r="AD23" s="7"/>
    </row>
    <row r="24" spans="1:30" ht="15.75" thickBot="1" x14ac:dyDescent="0.3">
      <c r="A24" s="48">
        <v>22</v>
      </c>
      <c r="B24" s="151"/>
      <c r="C24" s="150" t="s">
        <v>128</v>
      </c>
      <c r="D24" s="79" t="s">
        <v>269</v>
      </c>
      <c r="E24" s="77" t="s">
        <v>52</v>
      </c>
      <c r="F24" s="14" t="s">
        <v>127</v>
      </c>
      <c r="G24" s="8" t="s">
        <v>238</v>
      </c>
      <c r="H24" s="59" t="s">
        <v>264</v>
      </c>
      <c r="I24" s="13" t="s">
        <v>236</v>
      </c>
      <c r="J24" s="8" t="s">
        <v>265</v>
      </c>
      <c r="K24" s="13">
        <v>100</v>
      </c>
      <c r="L24" s="104">
        <v>5</v>
      </c>
      <c r="M24" s="10">
        <v>100</v>
      </c>
      <c r="N24" s="10">
        <v>200</v>
      </c>
      <c r="O24" s="10">
        <v>2600</v>
      </c>
      <c r="P24" s="10">
        <v>5200</v>
      </c>
      <c r="Q24" s="10">
        <v>52000</v>
      </c>
      <c r="R24" s="62">
        <v>1.2999999999999999E-3</v>
      </c>
      <c r="S24" s="159">
        <f>R24*M24</f>
        <v>0.13</v>
      </c>
      <c r="T24" s="62">
        <v>6.3E-3</v>
      </c>
      <c r="U24" s="159">
        <f>T24*N24</f>
        <v>1.26</v>
      </c>
      <c r="V24" s="159">
        <v>2.5999999999999999E-2</v>
      </c>
      <c r="W24" s="159">
        <f>V24*O24</f>
        <v>67.599999999999994</v>
      </c>
      <c r="X24" s="159">
        <v>2.3300000000000001E-2</v>
      </c>
      <c r="Y24" s="159">
        <f>X24*P24</f>
        <v>121.16000000000001</v>
      </c>
      <c r="Z24" s="159">
        <v>8.8100000000000001E-3</v>
      </c>
      <c r="AA24" s="11">
        <f>Z24*Q24</f>
        <v>458.12</v>
      </c>
      <c r="AB24" s="35" t="s">
        <v>309</v>
      </c>
      <c r="AC24" s="7"/>
      <c r="AD24" s="7"/>
    </row>
    <row r="25" spans="1:30" ht="15.75" thickBot="1" x14ac:dyDescent="0.3">
      <c r="A25" s="48">
        <v>23</v>
      </c>
      <c r="B25" s="151"/>
      <c r="C25" s="89" t="s">
        <v>129</v>
      </c>
      <c r="D25" s="79" t="s">
        <v>29</v>
      </c>
      <c r="E25" s="77" t="s">
        <v>52</v>
      </c>
      <c r="F25" s="14" t="s">
        <v>130</v>
      </c>
      <c r="G25" s="8" t="s">
        <v>54</v>
      </c>
      <c r="H25" s="59" t="s">
        <v>266</v>
      </c>
      <c r="I25" s="13" t="s">
        <v>236</v>
      </c>
      <c r="J25" s="8" t="s">
        <v>267</v>
      </c>
      <c r="K25" s="8">
        <v>100</v>
      </c>
      <c r="L25" s="104">
        <v>1</v>
      </c>
      <c r="M25" s="10">
        <v>100</v>
      </c>
      <c r="N25" s="10">
        <v>100</v>
      </c>
      <c r="O25" s="10">
        <v>600</v>
      </c>
      <c r="P25" s="10">
        <v>1100</v>
      </c>
      <c r="Q25" s="10">
        <v>10500</v>
      </c>
      <c r="R25" s="52">
        <v>1.1900000000000001E-2</v>
      </c>
      <c r="S25" s="11">
        <f>R25*M25</f>
        <v>1.1900000000000002</v>
      </c>
      <c r="T25" s="52">
        <v>2.2000000000000001E-3</v>
      </c>
      <c r="U25" s="11">
        <f>T25*N25</f>
        <v>0.22</v>
      </c>
      <c r="V25" s="11">
        <v>8.0000000000000002E-3</v>
      </c>
      <c r="W25" s="11">
        <f>V25*O25</f>
        <v>4.8</v>
      </c>
      <c r="X25" s="11">
        <v>8.4500000000000006E-2</v>
      </c>
      <c r="Y25" s="11">
        <f>X25*P25</f>
        <v>92.95</v>
      </c>
      <c r="Z25" s="11">
        <v>1.4E-3</v>
      </c>
      <c r="AA25" s="11">
        <f>Z25*Q25</f>
        <v>14.7</v>
      </c>
      <c r="AB25" s="12"/>
      <c r="AC25" s="7"/>
      <c r="AD25" s="7"/>
    </row>
    <row r="26" spans="1:30" ht="15.75" thickBot="1" x14ac:dyDescent="0.3">
      <c r="A26" s="48">
        <v>24</v>
      </c>
      <c r="B26" s="151"/>
      <c r="C26" s="87" t="s">
        <v>131</v>
      </c>
      <c r="D26" s="79" t="s">
        <v>132</v>
      </c>
      <c r="E26" s="77" t="s">
        <v>52</v>
      </c>
      <c r="F26" s="14" t="s">
        <v>133</v>
      </c>
      <c r="G26" s="8" t="s">
        <v>134</v>
      </c>
      <c r="H26" s="59" t="s">
        <v>272</v>
      </c>
      <c r="I26" s="13" t="s">
        <v>273</v>
      </c>
      <c r="J26" s="8" t="s">
        <v>278</v>
      </c>
      <c r="K26" s="8">
        <v>50</v>
      </c>
      <c r="L26" s="104">
        <v>1</v>
      </c>
      <c r="M26" s="10">
        <v>50</v>
      </c>
      <c r="N26" s="10">
        <v>50</v>
      </c>
      <c r="O26" s="10">
        <v>550</v>
      </c>
      <c r="P26" s="10">
        <v>1050</v>
      </c>
      <c r="Q26" s="10">
        <v>10500</v>
      </c>
      <c r="R26" s="52">
        <v>5.4000000000000003E-3</v>
      </c>
      <c r="S26" s="11">
        <f>R26*M26</f>
        <v>0.27</v>
      </c>
      <c r="T26" s="52">
        <v>7.5800000000000006E-2</v>
      </c>
      <c r="U26" s="11">
        <f>T26*N26</f>
        <v>3.7900000000000005</v>
      </c>
      <c r="V26" s="11">
        <v>4.8999999999999998E-3</v>
      </c>
      <c r="W26" s="11">
        <f>V26*O26</f>
        <v>2.6949999999999998</v>
      </c>
      <c r="X26" s="11">
        <v>9.8799999999999999E-2</v>
      </c>
      <c r="Y26" s="11">
        <f>X26*P26</f>
        <v>103.74</v>
      </c>
      <c r="Z26" s="11">
        <v>5.3400000000000003E-2</v>
      </c>
      <c r="AA26" s="11">
        <f>Z26*Q26</f>
        <v>560.70000000000005</v>
      </c>
      <c r="AB26" s="12"/>
      <c r="AC26" s="7"/>
      <c r="AD26" s="7"/>
    </row>
    <row r="27" spans="1:30" ht="15.75" thickBot="1" x14ac:dyDescent="0.3">
      <c r="A27" s="48">
        <v>25</v>
      </c>
      <c r="B27" s="151"/>
      <c r="C27" s="89" t="s">
        <v>135</v>
      </c>
      <c r="D27" s="79" t="s">
        <v>30</v>
      </c>
      <c r="E27" s="77" t="s">
        <v>136</v>
      </c>
      <c r="F27" s="14" t="s">
        <v>32</v>
      </c>
      <c r="G27" s="8" t="s">
        <v>268</v>
      </c>
      <c r="H27" s="59" t="s">
        <v>31</v>
      </c>
      <c r="I27" s="13" t="s">
        <v>236</v>
      </c>
      <c r="J27" s="8" t="s">
        <v>279</v>
      </c>
      <c r="K27" s="8">
        <v>50</v>
      </c>
      <c r="L27" s="104">
        <v>1</v>
      </c>
      <c r="M27" s="10">
        <v>50</v>
      </c>
      <c r="N27" s="10">
        <v>50</v>
      </c>
      <c r="O27" s="10">
        <v>550</v>
      </c>
      <c r="P27" s="10">
        <v>1050</v>
      </c>
      <c r="Q27" s="10">
        <v>10500</v>
      </c>
      <c r="R27" s="52">
        <v>0.04</v>
      </c>
      <c r="S27" s="11">
        <f>R27*M27</f>
        <v>2</v>
      </c>
      <c r="T27" s="52">
        <v>0.02</v>
      </c>
      <c r="U27" s="11">
        <f>T27*N27</f>
        <v>1</v>
      </c>
      <c r="V27" s="11">
        <v>1.5800000000000002E-2</v>
      </c>
      <c r="W27" s="11">
        <f>V27*O27</f>
        <v>8.6900000000000013</v>
      </c>
      <c r="X27" s="11">
        <v>4.6800000000000001E-2</v>
      </c>
      <c r="Y27" s="11">
        <f>X27*P27</f>
        <v>49.14</v>
      </c>
      <c r="Z27" s="11">
        <v>7.4200000000000002E-2</v>
      </c>
      <c r="AA27" s="11">
        <f>Z27*Q27</f>
        <v>779.1</v>
      </c>
      <c r="AB27" s="12"/>
      <c r="AC27" s="7"/>
      <c r="AD27" s="7"/>
    </row>
    <row r="28" spans="1:30" ht="15.75" thickBot="1" x14ac:dyDescent="0.3">
      <c r="A28" s="48">
        <v>26</v>
      </c>
      <c r="B28" s="151"/>
      <c r="C28" s="89" t="s">
        <v>137</v>
      </c>
      <c r="D28" s="79" t="s">
        <v>138</v>
      </c>
      <c r="E28" s="77" t="s">
        <v>52</v>
      </c>
      <c r="F28" s="14" t="s">
        <v>139</v>
      </c>
      <c r="G28" s="8"/>
      <c r="H28" s="59"/>
      <c r="I28" s="59"/>
      <c r="J28" s="8"/>
      <c r="K28" s="8"/>
      <c r="L28" s="104">
        <v>1</v>
      </c>
      <c r="M28" s="10">
        <f t="shared" si="0"/>
        <v>12</v>
      </c>
      <c r="N28" s="10">
        <f t="shared" si="1"/>
        <v>23</v>
      </c>
      <c r="O28" s="10">
        <f t="shared" si="2"/>
        <v>575</v>
      </c>
      <c r="P28" s="10">
        <f t="shared" si="3"/>
        <v>1150</v>
      </c>
      <c r="Q28" s="10">
        <f t="shared" si="4"/>
        <v>11500</v>
      </c>
      <c r="R28" s="52"/>
      <c r="S28" s="11">
        <f>R28*M28</f>
        <v>0</v>
      </c>
      <c r="T28" s="52"/>
      <c r="U28" s="11">
        <f>T28*N28</f>
        <v>0</v>
      </c>
      <c r="V28" s="11"/>
      <c r="W28" s="11">
        <f>V28*O28</f>
        <v>0</v>
      </c>
      <c r="X28" s="11"/>
      <c r="Y28" s="11">
        <f>X28*P28</f>
        <v>0</v>
      </c>
      <c r="Z28" s="11"/>
      <c r="AA28" s="11">
        <f>Z28*Q28</f>
        <v>0</v>
      </c>
      <c r="AB28" s="12"/>
      <c r="AC28" s="7"/>
      <c r="AD28" s="7"/>
    </row>
    <row r="29" spans="1:30" ht="15.75" thickBot="1" x14ac:dyDescent="0.3">
      <c r="A29" s="48">
        <v>27</v>
      </c>
      <c r="B29" s="151"/>
      <c r="C29" s="87" t="s">
        <v>140</v>
      </c>
      <c r="D29" s="79" t="s">
        <v>141</v>
      </c>
      <c r="E29" s="77" t="s">
        <v>52</v>
      </c>
      <c r="F29" s="14" t="s">
        <v>142</v>
      </c>
      <c r="G29" s="8" t="s">
        <v>67</v>
      </c>
      <c r="H29" s="59" t="s">
        <v>274</v>
      </c>
      <c r="I29" s="59" t="s">
        <v>275</v>
      </c>
      <c r="J29" s="8" t="s">
        <v>280</v>
      </c>
      <c r="K29" s="10">
        <v>100</v>
      </c>
      <c r="L29" s="104">
        <v>1</v>
      </c>
      <c r="M29" s="10">
        <v>100</v>
      </c>
      <c r="N29" s="10">
        <v>100</v>
      </c>
      <c r="O29" s="10">
        <v>600</v>
      </c>
      <c r="P29" s="10">
        <v>1100</v>
      </c>
      <c r="Q29" s="10">
        <v>10500</v>
      </c>
      <c r="R29" s="52">
        <v>1.2200000000000001E-2</v>
      </c>
      <c r="S29" s="11">
        <f>R29*M29</f>
        <v>1.22</v>
      </c>
      <c r="T29" s="52">
        <v>2.2000000000000001E-3</v>
      </c>
      <c r="U29" s="11">
        <f>T29*N29</f>
        <v>0.22</v>
      </c>
      <c r="V29" s="11">
        <v>2.2000000000000001E-3</v>
      </c>
      <c r="W29" s="11">
        <f>V29*O29</f>
        <v>1.32</v>
      </c>
      <c r="X29" s="11">
        <v>1.9900000000000001E-2</v>
      </c>
      <c r="Y29" s="11">
        <f>X29*P29</f>
        <v>21.89</v>
      </c>
      <c r="Z29" s="11">
        <v>2.2200000000000001E-2</v>
      </c>
      <c r="AA29" s="11">
        <f>Z29*Q29</f>
        <v>233.10000000000002</v>
      </c>
      <c r="AB29" s="12"/>
      <c r="AC29" s="7"/>
      <c r="AD29" s="7"/>
    </row>
    <row r="30" spans="1:30" ht="15.75" thickBot="1" x14ac:dyDescent="0.3">
      <c r="A30" s="48">
        <v>28</v>
      </c>
      <c r="B30" s="151"/>
      <c r="C30" s="89" t="s">
        <v>143</v>
      </c>
      <c r="D30" s="79" t="s">
        <v>144</v>
      </c>
      <c r="E30" s="77" t="s">
        <v>52</v>
      </c>
      <c r="F30" s="14" t="s">
        <v>145</v>
      </c>
      <c r="G30" s="8" t="s">
        <v>238</v>
      </c>
      <c r="H30" s="59" t="s">
        <v>276</v>
      </c>
      <c r="I30" s="60" t="s">
        <v>236</v>
      </c>
      <c r="J30" s="8" t="s">
        <v>281</v>
      </c>
      <c r="K30" s="10">
        <v>100</v>
      </c>
      <c r="L30" s="104">
        <v>1</v>
      </c>
      <c r="M30" s="10">
        <v>100</v>
      </c>
      <c r="N30" s="10">
        <v>100</v>
      </c>
      <c r="O30" s="10">
        <v>600</v>
      </c>
      <c r="P30" s="10">
        <v>1100</v>
      </c>
      <c r="Q30" s="10">
        <v>10500</v>
      </c>
      <c r="R30" s="52">
        <v>1.12E-2</v>
      </c>
      <c r="S30" s="11">
        <f>R30*M30</f>
        <v>1.1199999999999999</v>
      </c>
      <c r="T30" s="52">
        <v>1.5E-3</v>
      </c>
      <c r="U30" s="11">
        <f>T30*N30</f>
        <v>0.15</v>
      </c>
      <c r="V30" s="11">
        <v>1.1999999999999999E-3</v>
      </c>
      <c r="W30" s="11">
        <f>V30*O30</f>
        <v>0.72</v>
      </c>
      <c r="X30" s="11">
        <v>7.9699999999999993E-2</v>
      </c>
      <c r="Y30" s="11">
        <f>X30*P30</f>
        <v>87.669999999999987</v>
      </c>
      <c r="Z30" s="11">
        <v>5.7500000000000002E-2</v>
      </c>
      <c r="AA30" s="11">
        <f>Z30*Q30</f>
        <v>603.75</v>
      </c>
      <c r="AB30" s="12"/>
      <c r="AC30" s="7"/>
      <c r="AD30" s="7"/>
    </row>
    <row r="31" spans="1:30" ht="15.75" thickBot="1" x14ac:dyDescent="0.3">
      <c r="A31" s="48">
        <v>29</v>
      </c>
      <c r="B31" s="151"/>
      <c r="C31" s="87" t="s">
        <v>146</v>
      </c>
      <c r="D31" s="95" t="s">
        <v>147</v>
      </c>
      <c r="E31" s="77" t="s">
        <v>52</v>
      </c>
      <c r="F31" s="14" t="s">
        <v>148</v>
      </c>
      <c r="G31" s="8" t="s">
        <v>149</v>
      </c>
      <c r="H31" s="59" t="s">
        <v>282</v>
      </c>
      <c r="I31" s="70" t="s">
        <v>283</v>
      </c>
      <c r="J31" s="8" t="s">
        <v>284</v>
      </c>
      <c r="K31" s="10">
        <v>100</v>
      </c>
      <c r="L31" s="104">
        <v>6</v>
      </c>
      <c r="M31" s="10">
        <v>100</v>
      </c>
      <c r="N31" s="10">
        <v>200</v>
      </c>
      <c r="O31" s="10">
        <v>3200</v>
      </c>
      <c r="P31" s="10">
        <v>6400</v>
      </c>
      <c r="Q31" s="10">
        <v>62000</v>
      </c>
      <c r="R31" s="52">
        <v>2.52E-2</v>
      </c>
      <c r="S31" s="11">
        <f>R31*M31</f>
        <v>2.52</v>
      </c>
      <c r="T31" s="52">
        <v>5.1200000000000002E-2</v>
      </c>
      <c r="U31" s="11">
        <f>T31*N31</f>
        <v>10.24</v>
      </c>
      <c r="V31" s="11">
        <v>7.4000000000000003E-3</v>
      </c>
      <c r="W31" s="11">
        <f>V31*O31</f>
        <v>23.68</v>
      </c>
      <c r="X31" s="11">
        <v>3.5700000000000003E-2</v>
      </c>
      <c r="Y31" s="11">
        <f>X31*P31</f>
        <v>228.48000000000002</v>
      </c>
      <c r="Z31" s="11">
        <v>1.3899999999999999E-2</v>
      </c>
      <c r="AA31" s="11">
        <f>Z31*Q31</f>
        <v>861.8</v>
      </c>
      <c r="AB31" s="12"/>
      <c r="AC31" s="7"/>
      <c r="AD31" s="7"/>
    </row>
    <row r="32" spans="1:30" ht="15.75" thickBot="1" x14ac:dyDescent="0.3">
      <c r="A32" s="48">
        <v>30</v>
      </c>
      <c r="B32" s="151"/>
      <c r="C32" s="87" t="s">
        <v>150</v>
      </c>
      <c r="D32" s="79" t="s">
        <v>151</v>
      </c>
      <c r="E32" s="77" t="s">
        <v>52</v>
      </c>
      <c r="F32" s="14" t="s">
        <v>152</v>
      </c>
      <c r="G32" s="8" t="s">
        <v>54</v>
      </c>
      <c r="H32" s="59" t="s">
        <v>285</v>
      </c>
      <c r="I32" s="13" t="s">
        <v>286</v>
      </c>
      <c r="J32" s="8" t="s">
        <v>287</v>
      </c>
      <c r="K32" s="10">
        <v>50</v>
      </c>
      <c r="L32" s="104">
        <v>1</v>
      </c>
      <c r="M32" s="10">
        <v>50</v>
      </c>
      <c r="N32" s="10">
        <v>50</v>
      </c>
      <c r="O32" s="10">
        <v>550</v>
      </c>
      <c r="P32" s="10">
        <v>1100</v>
      </c>
      <c r="Q32" s="10">
        <v>10500</v>
      </c>
      <c r="R32" s="52">
        <v>8.6E-3</v>
      </c>
      <c r="S32" s="11">
        <f>R32*M32</f>
        <v>0.43</v>
      </c>
      <c r="T32" s="52">
        <v>9.8799999999999999E-2</v>
      </c>
      <c r="U32" s="11">
        <f>T32*N32</f>
        <v>4.9399999999999995</v>
      </c>
      <c r="V32" s="11">
        <v>8.8000000000000005E-3</v>
      </c>
      <c r="W32" s="11">
        <f>V32*O32</f>
        <v>4.84</v>
      </c>
      <c r="X32" s="11">
        <v>8.8699999999999994E-3</v>
      </c>
      <c r="Y32" s="11">
        <f>X32*P32</f>
        <v>9.7569999999999997</v>
      </c>
      <c r="Z32" s="11">
        <v>8.6E-3</v>
      </c>
      <c r="AA32" s="11">
        <f>Z32*Q32</f>
        <v>90.3</v>
      </c>
      <c r="AB32" s="12"/>
      <c r="AC32" s="7"/>
      <c r="AD32" s="7"/>
    </row>
    <row r="33" spans="1:30" ht="15.75" thickBot="1" x14ac:dyDescent="0.3">
      <c r="A33" s="48">
        <v>31</v>
      </c>
      <c r="B33" s="151"/>
      <c r="C33" s="89" t="s">
        <v>153</v>
      </c>
      <c r="D33" s="79" t="s">
        <v>154</v>
      </c>
      <c r="E33" s="77" t="s">
        <v>52</v>
      </c>
      <c r="F33" s="14" t="s">
        <v>155</v>
      </c>
      <c r="G33" s="8" t="s">
        <v>238</v>
      </c>
      <c r="H33" s="59" t="s">
        <v>288</v>
      </c>
      <c r="I33" s="13" t="s">
        <v>236</v>
      </c>
      <c r="J33" s="13" t="s">
        <v>289</v>
      </c>
      <c r="K33" s="61">
        <v>100</v>
      </c>
      <c r="L33" s="104">
        <v>3</v>
      </c>
      <c r="M33" s="10">
        <v>100</v>
      </c>
      <c r="N33" s="10">
        <v>100</v>
      </c>
      <c r="O33" s="10">
        <v>1600</v>
      </c>
      <c r="P33" s="10">
        <v>3200</v>
      </c>
      <c r="Q33" s="10">
        <v>31000</v>
      </c>
      <c r="R33" s="52">
        <v>3.3E-3</v>
      </c>
      <c r="S33" s="11">
        <f>R33*M33</f>
        <v>0.33</v>
      </c>
      <c r="T33" s="52">
        <v>4.53E-2</v>
      </c>
      <c r="U33" s="11">
        <f>T33*N33</f>
        <v>4.53</v>
      </c>
      <c r="V33" s="11">
        <v>0.69</v>
      </c>
      <c r="W33" s="11">
        <f>V33*O33</f>
        <v>1104</v>
      </c>
      <c r="X33" s="11">
        <v>6.5799999999999997E-2</v>
      </c>
      <c r="Y33" s="11">
        <f>X33*P33</f>
        <v>210.56</v>
      </c>
      <c r="Z33" s="11">
        <v>1.72E-2</v>
      </c>
      <c r="AA33" s="11">
        <f>Z33*Q33</f>
        <v>533.20000000000005</v>
      </c>
      <c r="AB33" s="12"/>
      <c r="AC33" s="7"/>
      <c r="AD33" s="7"/>
    </row>
    <row r="34" spans="1:30" ht="15.75" thickBot="1" x14ac:dyDescent="0.3">
      <c r="A34" s="48">
        <v>32</v>
      </c>
      <c r="B34" s="151"/>
      <c r="C34" s="89" t="s">
        <v>156</v>
      </c>
      <c r="D34" s="79" t="s">
        <v>157</v>
      </c>
      <c r="E34" s="77" t="s">
        <v>136</v>
      </c>
      <c r="F34" s="14" t="s">
        <v>158</v>
      </c>
      <c r="G34" s="8" t="s">
        <v>268</v>
      </c>
      <c r="H34" s="59" t="s">
        <v>290</v>
      </c>
      <c r="I34" s="13" t="s">
        <v>236</v>
      </c>
      <c r="J34" s="13" t="s">
        <v>291</v>
      </c>
      <c r="K34" s="61">
        <v>50</v>
      </c>
      <c r="L34" s="104">
        <v>4</v>
      </c>
      <c r="M34" s="10">
        <v>50</v>
      </c>
      <c r="N34" s="10">
        <v>100</v>
      </c>
      <c r="O34" s="10">
        <v>2100</v>
      </c>
      <c r="P34" s="10">
        <v>4200</v>
      </c>
      <c r="Q34" s="10">
        <v>41500</v>
      </c>
      <c r="R34" s="160">
        <v>9.2999999999999992E-3</v>
      </c>
      <c r="S34" s="159">
        <f>R34*M34</f>
        <v>0.46499999999999997</v>
      </c>
      <c r="T34" s="160">
        <v>9.2999999999999992E-3</v>
      </c>
      <c r="U34" s="159">
        <f>T34*N34</f>
        <v>0.92999999999999994</v>
      </c>
      <c r="V34" s="159">
        <v>8.8000000000000005E-3</v>
      </c>
      <c r="W34" s="159">
        <f>V34*O34</f>
        <v>18.48</v>
      </c>
      <c r="X34" s="159">
        <v>6.8999999999999999E-3</v>
      </c>
      <c r="Y34" s="159">
        <f>X34*P34</f>
        <v>28.98</v>
      </c>
      <c r="Z34" s="159">
        <v>1.6199999999999999E-2</v>
      </c>
      <c r="AA34" s="11">
        <f>Z34*Q34</f>
        <v>672.3</v>
      </c>
      <c r="AB34" s="15"/>
      <c r="AC34" s="7"/>
      <c r="AD34" s="7"/>
    </row>
    <row r="35" spans="1:30" ht="15.75" thickBot="1" x14ac:dyDescent="0.3">
      <c r="A35" s="48">
        <v>33</v>
      </c>
      <c r="B35" s="152"/>
      <c r="C35" s="96" t="s">
        <v>159</v>
      </c>
      <c r="D35" s="97" t="s">
        <v>160</v>
      </c>
      <c r="E35" s="84" t="s">
        <v>136</v>
      </c>
      <c r="F35" s="19" t="s">
        <v>161</v>
      </c>
      <c r="G35" s="17" t="s">
        <v>54</v>
      </c>
      <c r="H35" s="109" t="s">
        <v>292</v>
      </c>
      <c r="I35" s="16" t="s">
        <v>236</v>
      </c>
      <c r="J35" s="16" t="s">
        <v>293</v>
      </c>
      <c r="K35" s="64">
        <v>5</v>
      </c>
      <c r="L35" s="105">
        <v>1</v>
      </c>
      <c r="M35" s="20">
        <v>10</v>
      </c>
      <c r="N35" s="20">
        <v>25</v>
      </c>
      <c r="O35" s="20">
        <v>525</v>
      </c>
      <c r="P35" s="20">
        <v>1050</v>
      </c>
      <c r="Q35" s="20">
        <v>10500</v>
      </c>
      <c r="R35" s="161">
        <v>9.4399999999999998E-2</v>
      </c>
      <c r="S35" s="162">
        <f>R35*M35</f>
        <v>0.94399999999999995</v>
      </c>
      <c r="T35" s="161">
        <v>9.4399999999999998E-2</v>
      </c>
      <c r="U35" s="162">
        <f>T35*N35</f>
        <v>2.36</v>
      </c>
      <c r="V35" s="162">
        <v>6.6900000000000001E-2</v>
      </c>
      <c r="W35" s="162">
        <f>V35*O35</f>
        <v>35.122500000000002</v>
      </c>
      <c r="X35" s="162">
        <v>7.4399999999999994E-2</v>
      </c>
      <c r="Y35" s="162">
        <f>X35*P35</f>
        <v>78.11999999999999</v>
      </c>
      <c r="Z35" s="162">
        <v>6.4399999999999999E-2</v>
      </c>
      <c r="AA35" s="21">
        <f>Z35*Q35</f>
        <v>676.19999999999993</v>
      </c>
      <c r="AB35" s="22"/>
      <c r="AC35" s="7"/>
      <c r="AD35" s="7"/>
    </row>
    <row r="36" spans="1:30" ht="15.75" thickBot="1" x14ac:dyDescent="0.3">
      <c r="A36" s="48">
        <v>34</v>
      </c>
      <c r="B36" s="158" t="s">
        <v>162</v>
      </c>
      <c r="C36" s="86" t="s">
        <v>163</v>
      </c>
      <c r="D36" s="74" t="s">
        <v>164</v>
      </c>
      <c r="E36" s="74" t="s">
        <v>165</v>
      </c>
      <c r="F36" s="24" t="s">
        <v>166</v>
      </c>
      <c r="G36" s="2" t="s">
        <v>294</v>
      </c>
      <c r="H36" s="69" t="s">
        <v>295</v>
      </c>
      <c r="I36" s="1" t="s">
        <v>236</v>
      </c>
      <c r="J36" s="1" t="s">
        <v>236</v>
      </c>
      <c r="K36" s="110">
        <v>10</v>
      </c>
      <c r="L36" s="3">
        <v>1</v>
      </c>
      <c r="M36" s="4">
        <v>10</v>
      </c>
      <c r="N36" s="4">
        <v>20</v>
      </c>
      <c r="O36" s="4">
        <v>520</v>
      </c>
      <c r="P36" s="4">
        <v>1050</v>
      </c>
      <c r="Q36" s="4">
        <v>10200</v>
      </c>
      <c r="R36" s="111">
        <v>5.6000000000000001E-2</v>
      </c>
      <c r="S36" s="163">
        <f>R36*M36</f>
        <v>0.56000000000000005</v>
      </c>
      <c r="T36" s="111">
        <v>6.6000000000000003E-2</v>
      </c>
      <c r="U36" s="163">
        <f>T36*N36</f>
        <v>1.32</v>
      </c>
      <c r="V36" s="163">
        <v>4.9599999999999998E-2</v>
      </c>
      <c r="W36" s="163">
        <f>V36*O36</f>
        <v>25.791999999999998</v>
      </c>
      <c r="X36" s="163">
        <v>6.7699999999999996E-2</v>
      </c>
      <c r="Y36" s="163">
        <f>X36*P36</f>
        <v>71.084999999999994</v>
      </c>
      <c r="Z36" s="163">
        <v>3.5799999999999998E-2</v>
      </c>
      <c r="AA36" s="5">
        <f>Z36*Q36</f>
        <v>365.15999999999997</v>
      </c>
      <c r="AB36" s="6"/>
      <c r="AC36" s="7"/>
      <c r="AD36" s="7"/>
    </row>
    <row r="37" spans="1:30" ht="15.75" thickBot="1" x14ac:dyDescent="0.3">
      <c r="A37" s="48">
        <v>35</v>
      </c>
      <c r="B37" s="152"/>
      <c r="C37" s="88" t="s">
        <v>167</v>
      </c>
      <c r="D37" s="84" t="s">
        <v>168</v>
      </c>
      <c r="E37" s="84" t="s">
        <v>169</v>
      </c>
      <c r="F37" s="19" t="s">
        <v>170</v>
      </c>
      <c r="G37" s="17" t="s">
        <v>296</v>
      </c>
      <c r="H37" s="109" t="s">
        <v>297</v>
      </c>
      <c r="I37" s="16" t="s">
        <v>236</v>
      </c>
      <c r="J37" s="16" t="s">
        <v>236</v>
      </c>
      <c r="K37" s="64">
        <v>5</v>
      </c>
      <c r="L37" s="18">
        <v>1</v>
      </c>
      <c r="M37" s="20">
        <v>10</v>
      </c>
      <c r="N37" s="20">
        <v>25</v>
      </c>
      <c r="O37" s="20">
        <v>520</v>
      </c>
      <c r="P37" s="20">
        <v>1050</v>
      </c>
      <c r="Q37" s="20">
        <v>10500</v>
      </c>
      <c r="R37" s="161">
        <v>0.1308</v>
      </c>
      <c r="S37" s="162">
        <f>R37*M37</f>
        <v>1.3080000000000001</v>
      </c>
      <c r="T37" s="161">
        <v>0.13780000000000001</v>
      </c>
      <c r="U37" s="162">
        <f>T37*N37</f>
        <v>3.4450000000000003</v>
      </c>
      <c r="V37" s="162">
        <v>8.6800000000000002E-2</v>
      </c>
      <c r="W37" s="162">
        <f>V37*O37</f>
        <v>45.136000000000003</v>
      </c>
      <c r="X37" s="162">
        <v>8.3799999999999999E-2</v>
      </c>
      <c r="Y37" s="162">
        <f>X37*P37</f>
        <v>87.99</v>
      </c>
      <c r="Z37" s="162">
        <v>8.5500000000000007E-2</v>
      </c>
      <c r="AA37" s="21">
        <f>Z37*Q37</f>
        <v>897.75000000000011</v>
      </c>
      <c r="AB37" s="128"/>
      <c r="AC37" s="7"/>
      <c r="AD37" s="7"/>
    </row>
    <row r="38" spans="1:30" ht="15.75" thickBot="1" x14ac:dyDescent="0.3">
      <c r="A38" s="48">
        <v>36</v>
      </c>
      <c r="B38" s="71" t="s">
        <v>171</v>
      </c>
      <c r="C38" s="145" t="s">
        <v>172</v>
      </c>
      <c r="D38" s="93" t="s">
        <v>173</v>
      </c>
      <c r="E38" s="93" t="s">
        <v>174</v>
      </c>
      <c r="F38" s="93" t="s">
        <v>175</v>
      </c>
      <c r="G38" s="94" t="s">
        <v>176</v>
      </c>
      <c r="H38" s="132"/>
      <c r="I38" s="146"/>
      <c r="J38" s="146"/>
      <c r="K38" s="147"/>
      <c r="L38" s="107">
        <v>1</v>
      </c>
      <c r="M38" s="118">
        <f t="shared" si="0"/>
        <v>12</v>
      </c>
      <c r="N38" s="118">
        <f t="shared" si="1"/>
        <v>23</v>
      </c>
      <c r="O38" s="118">
        <f t="shared" si="2"/>
        <v>575</v>
      </c>
      <c r="P38" s="118">
        <f t="shared" si="3"/>
        <v>1150</v>
      </c>
      <c r="Q38" s="118">
        <f t="shared" si="4"/>
        <v>11500</v>
      </c>
      <c r="R38" s="119"/>
      <c r="S38" s="120">
        <f>R38*M38</f>
        <v>0</v>
      </c>
      <c r="T38" s="119"/>
      <c r="U38" s="120">
        <f>T38*N38</f>
        <v>0</v>
      </c>
      <c r="V38" s="120"/>
      <c r="W38" s="120">
        <f>V38*O38</f>
        <v>0</v>
      </c>
      <c r="X38" s="120"/>
      <c r="Y38" s="120">
        <f>X38*P38</f>
        <v>0</v>
      </c>
      <c r="Z38" s="120"/>
      <c r="AA38" s="120">
        <f>Z38*Q38</f>
        <v>0</v>
      </c>
      <c r="AB38" s="148"/>
      <c r="AC38" s="7"/>
      <c r="AD38" s="7"/>
    </row>
    <row r="39" spans="1:30" ht="15.75" thickBot="1" x14ac:dyDescent="0.3">
      <c r="A39" s="48">
        <v>37</v>
      </c>
      <c r="B39" s="158" t="s">
        <v>177</v>
      </c>
      <c r="C39" s="86" t="s">
        <v>178</v>
      </c>
      <c r="D39" s="74" t="s">
        <v>34</v>
      </c>
      <c r="E39" s="74" t="s">
        <v>179</v>
      </c>
      <c r="F39" s="24" t="s">
        <v>180</v>
      </c>
      <c r="G39" s="2" t="s">
        <v>298</v>
      </c>
      <c r="H39" s="28" t="s">
        <v>299</v>
      </c>
      <c r="I39" s="2" t="s">
        <v>236</v>
      </c>
      <c r="J39" s="2" t="s">
        <v>236</v>
      </c>
      <c r="K39" s="127">
        <v>10</v>
      </c>
      <c r="L39" s="4">
        <v>1</v>
      </c>
      <c r="M39" s="4">
        <v>10</v>
      </c>
      <c r="N39" s="4">
        <v>20</v>
      </c>
      <c r="O39" s="4">
        <v>530</v>
      </c>
      <c r="P39" s="4">
        <v>1050</v>
      </c>
      <c r="Q39" s="4">
        <v>10200</v>
      </c>
      <c r="R39" s="51">
        <v>6.0400000000000002E-2</v>
      </c>
      <c r="S39" s="5">
        <f>R39*M39</f>
        <v>0.60399999999999998</v>
      </c>
      <c r="T39" s="51">
        <v>6.8400000000000002E-2</v>
      </c>
      <c r="U39" s="5">
        <f>T39*N39</f>
        <v>1.3680000000000001</v>
      </c>
      <c r="V39" s="5">
        <v>4.6589999999999999E-2</v>
      </c>
      <c r="W39" s="5">
        <f>V39*O39</f>
        <v>24.692699999999999</v>
      </c>
      <c r="X39" s="5">
        <v>7.8899999999999998E-2</v>
      </c>
      <c r="Y39" s="5">
        <f>X39*P39</f>
        <v>82.844999999999999</v>
      </c>
      <c r="Z39" s="5">
        <v>3.8300000000000001E-2</v>
      </c>
      <c r="AA39" s="5">
        <f>Z39*Q39</f>
        <v>390.66</v>
      </c>
      <c r="AB39" s="25"/>
      <c r="AC39" s="7"/>
      <c r="AD39" s="7"/>
    </row>
    <row r="40" spans="1:30" ht="15.75" thickBot="1" x14ac:dyDescent="0.3">
      <c r="A40" s="48">
        <v>38</v>
      </c>
      <c r="B40" s="151"/>
      <c r="C40" s="89" t="s">
        <v>181</v>
      </c>
      <c r="D40" s="77" t="s">
        <v>35</v>
      </c>
      <c r="E40" s="77" t="s">
        <v>182</v>
      </c>
      <c r="F40" s="14" t="s">
        <v>183</v>
      </c>
      <c r="G40" s="30" t="s">
        <v>300</v>
      </c>
      <c r="H40" s="31" t="s">
        <v>301</v>
      </c>
      <c r="I40" s="8" t="s">
        <v>236</v>
      </c>
      <c r="J40" s="8" t="s">
        <v>236</v>
      </c>
      <c r="K40" s="32">
        <v>1</v>
      </c>
      <c r="L40" s="10">
        <v>1</v>
      </c>
      <c r="M40" s="10">
        <v>11</v>
      </c>
      <c r="N40" s="10">
        <f t="shared" ref="N40:N45" si="5">ROUND(L40*20*1.11,0)</f>
        <v>22</v>
      </c>
      <c r="O40" s="10">
        <v>520</v>
      </c>
      <c r="P40" s="10">
        <v>1050</v>
      </c>
      <c r="Q40" s="10">
        <v>10200</v>
      </c>
      <c r="R40" s="52">
        <v>0.28439999999999999</v>
      </c>
      <c r="S40" s="11">
        <f>R40*M40</f>
        <v>3.1284000000000001</v>
      </c>
      <c r="T40" s="52">
        <v>0.28739999999999999</v>
      </c>
      <c r="U40" s="11">
        <f>T40*N40</f>
        <v>6.3228</v>
      </c>
      <c r="V40" s="11">
        <v>0.27900000000000003</v>
      </c>
      <c r="W40" s="11">
        <f>V40*O40</f>
        <v>145.08000000000001</v>
      </c>
      <c r="X40" s="11">
        <v>0.34289999999999998</v>
      </c>
      <c r="Y40" s="11">
        <f>X40*P40</f>
        <v>360.04499999999996</v>
      </c>
      <c r="Z40" s="11">
        <v>0.24160000000000001</v>
      </c>
      <c r="AA40" s="11">
        <f>Z40*Q40</f>
        <v>2464.3200000000002</v>
      </c>
      <c r="AB40" s="12"/>
      <c r="AC40" s="7"/>
      <c r="AD40" s="7"/>
    </row>
    <row r="41" spans="1:30" ht="15.75" thickBot="1" x14ac:dyDescent="0.3">
      <c r="A41" s="48">
        <v>39</v>
      </c>
      <c r="B41" s="151"/>
      <c r="C41" s="89" t="s">
        <v>184</v>
      </c>
      <c r="D41" s="77" t="s">
        <v>36</v>
      </c>
      <c r="E41" s="77" t="s">
        <v>185</v>
      </c>
      <c r="F41" s="14" t="s">
        <v>186</v>
      </c>
      <c r="G41" s="30" t="s">
        <v>302</v>
      </c>
      <c r="H41" s="31" t="s">
        <v>303</v>
      </c>
      <c r="I41" s="8" t="s">
        <v>236</v>
      </c>
      <c r="J41" s="8" t="s">
        <v>236</v>
      </c>
      <c r="K41" s="32">
        <v>1</v>
      </c>
      <c r="L41" s="10">
        <v>1</v>
      </c>
      <c r="M41" s="10">
        <f t="shared" ref="M41:M45" si="6">ROUND(L41*10*1.11, 0)</f>
        <v>11</v>
      </c>
      <c r="N41" s="10">
        <f t="shared" si="5"/>
        <v>22</v>
      </c>
      <c r="O41" s="10">
        <v>520</v>
      </c>
      <c r="P41" s="10">
        <v>1050</v>
      </c>
      <c r="Q41" s="10">
        <v>10200</v>
      </c>
      <c r="R41" s="52">
        <v>0.16830000000000001</v>
      </c>
      <c r="S41" s="11">
        <f>R41*M41</f>
        <v>1.8513000000000002</v>
      </c>
      <c r="T41" s="52">
        <v>0.1898</v>
      </c>
      <c r="U41" s="11">
        <f>T41*N41</f>
        <v>4.1756000000000002</v>
      </c>
      <c r="V41" s="11">
        <v>0.14979999999999999</v>
      </c>
      <c r="W41" s="11">
        <f>V41*O41</f>
        <v>77.896000000000001</v>
      </c>
      <c r="X41" s="11">
        <v>0.1159</v>
      </c>
      <c r="Y41" s="11">
        <f>X41*P41</f>
        <v>121.69500000000001</v>
      </c>
      <c r="Z41" s="11">
        <v>0.16500000000000001</v>
      </c>
      <c r="AA41" s="11">
        <f>Z41*Q41</f>
        <v>1683</v>
      </c>
      <c r="AB41" s="12"/>
      <c r="AC41" s="7"/>
      <c r="AD41" s="7"/>
    </row>
    <row r="42" spans="1:30" ht="15.75" thickBot="1" x14ac:dyDescent="0.3">
      <c r="A42" s="48">
        <v>40</v>
      </c>
      <c r="B42" s="151"/>
      <c r="C42" s="87" t="s">
        <v>187</v>
      </c>
      <c r="D42" s="77" t="s">
        <v>37</v>
      </c>
      <c r="E42" s="77" t="s">
        <v>179</v>
      </c>
      <c r="F42" s="14" t="s">
        <v>188</v>
      </c>
      <c r="G42" s="8" t="s">
        <v>189</v>
      </c>
      <c r="H42" s="31" t="s">
        <v>236</v>
      </c>
      <c r="I42" s="8" t="s">
        <v>236</v>
      </c>
      <c r="J42" s="8" t="s">
        <v>236</v>
      </c>
      <c r="K42" s="32">
        <v>10</v>
      </c>
      <c r="L42" s="10">
        <v>1</v>
      </c>
      <c r="M42" s="10">
        <f t="shared" si="6"/>
        <v>11</v>
      </c>
      <c r="N42" s="10">
        <f t="shared" si="5"/>
        <v>22</v>
      </c>
      <c r="O42" s="10">
        <v>520</v>
      </c>
      <c r="P42" s="10">
        <f t="shared" ref="P42:P45" si="7">ROUND(L42*1000*1.11,0)</f>
        <v>1110</v>
      </c>
      <c r="Q42" s="10">
        <f t="shared" ref="Q42:Q45" si="8">ROUND(L42*10000*1.11,0)</f>
        <v>11100</v>
      </c>
      <c r="R42" s="52">
        <v>1.0900000000000001</v>
      </c>
      <c r="S42" s="11">
        <f>R42*M42</f>
        <v>11.99</v>
      </c>
      <c r="T42" s="52">
        <v>0.97</v>
      </c>
      <c r="U42" s="11">
        <f>T42*N42</f>
        <v>21.34</v>
      </c>
      <c r="V42" s="11">
        <v>0.895384615384619</v>
      </c>
      <c r="W42" s="11">
        <f>V42*O42</f>
        <v>465.6000000000019</v>
      </c>
      <c r="X42" s="11"/>
      <c r="Y42" s="11">
        <f>X42*P42</f>
        <v>0</v>
      </c>
      <c r="Z42" s="11"/>
      <c r="AA42" s="11">
        <f>Z42*Q42</f>
        <v>0</v>
      </c>
      <c r="AB42" s="12"/>
      <c r="AC42" s="7"/>
      <c r="AD42" s="7"/>
    </row>
    <row r="43" spans="1:30" ht="15.75" thickBot="1" x14ac:dyDescent="0.3">
      <c r="A43" s="48">
        <v>41</v>
      </c>
      <c r="B43" s="151"/>
      <c r="C43" s="87" t="s">
        <v>190</v>
      </c>
      <c r="D43" s="77" t="s">
        <v>191</v>
      </c>
      <c r="E43" s="77" t="s">
        <v>192</v>
      </c>
      <c r="F43" s="14" t="s">
        <v>193</v>
      </c>
      <c r="G43" s="30" t="s">
        <v>189</v>
      </c>
      <c r="H43" s="26" t="s">
        <v>236</v>
      </c>
      <c r="I43" s="8" t="s">
        <v>236</v>
      </c>
      <c r="J43" s="8" t="s">
        <v>236</v>
      </c>
      <c r="K43" s="10">
        <v>10</v>
      </c>
      <c r="L43" s="10">
        <v>1</v>
      </c>
      <c r="M43" s="10">
        <f t="shared" si="6"/>
        <v>11</v>
      </c>
      <c r="N43" s="10">
        <f t="shared" si="5"/>
        <v>22</v>
      </c>
      <c r="O43" s="10">
        <v>520</v>
      </c>
      <c r="P43" s="10">
        <v>1050</v>
      </c>
      <c r="Q43" s="10">
        <v>10200</v>
      </c>
      <c r="R43" s="52">
        <v>2.5030000000000001</v>
      </c>
      <c r="S43" s="11">
        <f>R43*M43</f>
        <v>27.533000000000001</v>
      </c>
      <c r="T43" s="52">
        <v>2.2113636363636302</v>
      </c>
      <c r="U43" s="11">
        <f>T43*N43</f>
        <v>48.649999999999864</v>
      </c>
      <c r="V43" s="11">
        <v>1.9238846153846101</v>
      </c>
      <c r="W43" s="11">
        <f>V43*O43</f>
        <v>1000.4199999999972</v>
      </c>
      <c r="X43" s="11">
        <v>2.496</v>
      </c>
      <c r="Y43" s="11">
        <f>X43*P43</f>
        <v>2620.8000000000002</v>
      </c>
      <c r="Z43" s="11"/>
      <c r="AA43" s="11">
        <f>Z43*Q43</f>
        <v>0</v>
      </c>
      <c r="AB43" s="12"/>
      <c r="AC43" s="7"/>
      <c r="AD43" s="7"/>
    </row>
    <row r="44" spans="1:30" ht="15.75" thickBot="1" x14ac:dyDescent="0.3">
      <c r="A44" s="48">
        <v>42</v>
      </c>
      <c r="B44" s="151"/>
      <c r="C44" s="89" t="s">
        <v>194</v>
      </c>
      <c r="D44" s="77" t="s">
        <v>39</v>
      </c>
      <c r="E44" s="77" t="s">
        <v>195</v>
      </c>
      <c r="F44" s="14" t="s">
        <v>196</v>
      </c>
      <c r="G44" s="30" t="s">
        <v>197</v>
      </c>
      <c r="H44" s="9" t="s">
        <v>304</v>
      </c>
      <c r="I44" s="8" t="s">
        <v>236</v>
      </c>
      <c r="J44" s="8" t="s">
        <v>236</v>
      </c>
      <c r="K44" s="10">
        <v>1</v>
      </c>
      <c r="L44" s="10">
        <v>1</v>
      </c>
      <c r="M44" s="10">
        <f t="shared" si="6"/>
        <v>11</v>
      </c>
      <c r="N44" s="10">
        <f t="shared" si="5"/>
        <v>22</v>
      </c>
      <c r="O44" s="10">
        <v>510</v>
      </c>
      <c r="P44" s="10">
        <v>1020</v>
      </c>
      <c r="Q44" s="10">
        <v>10100</v>
      </c>
      <c r="R44" s="52">
        <v>3.8121999999999998</v>
      </c>
      <c r="S44" s="11">
        <f>R44*M44</f>
        <v>41.934199999999997</v>
      </c>
      <c r="T44" s="53">
        <v>3.8121999999999998</v>
      </c>
      <c r="U44" s="11">
        <f>T44*N44</f>
        <v>83.868399999999994</v>
      </c>
      <c r="V44" s="11">
        <v>3.6945000000000001</v>
      </c>
      <c r="W44" s="11">
        <f>V44*O44</f>
        <v>1884.1950000000002</v>
      </c>
      <c r="X44" s="11">
        <v>3.0587</v>
      </c>
      <c r="Y44" s="11">
        <f>X44*P44</f>
        <v>3119.8739999999998</v>
      </c>
      <c r="Z44" s="11">
        <v>3.0125000000000002</v>
      </c>
      <c r="AA44" s="11">
        <f>Z44*Q44</f>
        <v>30426.25</v>
      </c>
      <c r="AB44" s="12"/>
      <c r="AC44" s="7"/>
      <c r="AD44" s="7"/>
    </row>
    <row r="45" spans="1:30" ht="15.75" thickBot="1" x14ac:dyDescent="0.3">
      <c r="A45" s="48">
        <v>43</v>
      </c>
      <c r="B45" s="151"/>
      <c r="C45" s="98" t="s">
        <v>198</v>
      </c>
      <c r="D45" s="13" t="s">
        <v>40</v>
      </c>
      <c r="E45" s="99" t="s">
        <v>199</v>
      </c>
      <c r="F45" s="13" t="s">
        <v>200</v>
      </c>
      <c r="G45" s="8" t="s">
        <v>189</v>
      </c>
      <c r="H45" s="26"/>
      <c r="I45" s="8"/>
      <c r="J45" s="8"/>
      <c r="K45" s="10"/>
      <c r="L45" s="9">
        <v>1</v>
      </c>
      <c r="M45" s="10">
        <f t="shared" si="6"/>
        <v>11</v>
      </c>
      <c r="N45" s="10">
        <f t="shared" si="5"/>
        <v>22</v>
      </c>
      <c r="O45" s="10">
        <f t="shared" ref="O45" si="9">ROUND(L45*500*1.11,0)</f>
        <v>555</v>
      </c>
      <c r="P45" s="10">
        <f t="shared" si="7"/>
        <v>1110</v>
      </c>
      <c r="Q45" s="10">
        <f t="shared" si="8"/>
        <v>11100</v>
      </c>
      <c r="R45" s="52"/>
      <c r="S45" s="11">
        <f>R45*M45</f>
        <v>0</v>
      </c>
      <c r="T45" s="52"/>
      <c r="U45" s="11">
        <f>T45*N45</f>
        <v>0</v>
      </c>
      <c r="V45" s="11"/>
      <c r="W45" s="11">
        <f>V45*O45</f>
        <v>0</v>
      </c>
      <c r="X45" s="11"/>
      <c r="Y45" s="11">
        <f>X45*P45</f>
        <v>0</v>
      </c>
      <c r="Z45" s="11"/>
      <c r="AA45" s="11">
        <f>Z45*Q45</f>
        <v>0</v>
      </c>
      <c r="AB45" s="34"/>
      <c r="AC45" s="7"/>
      <c r="AD45" s="7"/>
    </row>
    <row r="46" spans="1:30" ht="15.75" thickBot="1" x14ac:dyDescent="0.3">
      <c r="A46" s="48">
        <v>44</v>
      </c>
      <c r="B46" s="152"/>
      <c r="C46" s="100" t="s">
        <v>201</v>
      </c>
      <c r="D46" s="16" t="s">
        <v>38</v>
      </c>
      <c r="E46" s="101" t="s">
        <v>202</v>
      </c>
      <c r="F46" s="16" t="s">
        <v>203</v>
      </c>
      <c r="G46" s="16" t="s">
        <v>197</v>
      </c>
      <c r="H46" s="17" t="s">
        <v>236</v>
      </c>
      <c r="I46" s="17" t="s">
        <v>236</v>
      </c>
      <c r="J46" s="17" t="s">
        <v>236</v>
      </c>
      <c r="K46" s="17">
        <v>65</v>
      </c>
      <c r="L46" s="18">
        <v>1</v>
      </c>
      <c r="M46" s="20">
        <v>65</v>
      </c>
      <c r="N46" s="20">
        <v>65</v>
      </c>
      <c r="O46" s="20">
        <v>520</v>
      </c>
      <c r="P46" s="20">
        <v>1050</v>
      </c>
      <c r="Q46" s="20">
        <v>10200</v>
      </c>
      <c r="R46" s="131">
        <v>0.86499999999999999</v>
      </c>
      <c r="S46" s="21">
        <f>R46*M46</f>
        <v>56.225000000000001</v>
      </c>
      <c r="T46" s="131">
        <v>0.90500000000000003</v>
      </c>
      <c r="U46" s="21">
        <f>T46*N46</f>
        <v>58.825000000000003</v>
      </c>
      <c r="V46" s="21">
        <v>0.88</v>
      </c>
      <c r="W46" s="21">
        <f>V46*O46</f>
        <v>457.6</v>
      </c>
      <c r="X46" s="21">
        <v>0.78</v>
      </c>
      <c r="Y46" s="21">
        <f>X46*P46</f>
        <v>819</v>
      </c>
      <c r="Z46" s="21">
        <v>0.85799999999999998</v>
      </c>
      <c r="AA46" s="21">
        <f>Z46*Q46</f>
        <v>8751.6</v>
      </c>
      <c r="AB46" s="22"/>
      <c r="AC46" s="7"/>
      <c r="AD46" s="7"/>
    </row>
    <row r="47" spans="1:30" ht="15.75" thickBot="1" x14ac:dyDescent="0.3">
      <c r="A47" s="48">
        <v>45</v>
      </c>
      <c r="B47" s="151" t="s">
        <v>204</v>
      </c>
      <c r="C47" s="143" t="s">
        <v>205</v>
      </c>
      <c r="D47" s="165" t="s">
        <v>41</v>
      </c>
      <c r="E47" s="137" t="s">
        <v>169</v>
      </c>
      <c r="F47" s="137" t="s">
        <v>206</v>
      </c>
      <c r="G47" s="142" t="s">
        <v>207</v>
      </c>
      <c r="H47" s="139"/>
      <c r="I47" s="137"/>
      <c r="J47" s="138"/>
      <c r="K47" s="133"/>
      <c r="L47" s="166">
        <v>1</v>
      </c>
      <c r="M47" s="133">
        <f t="shared" ref="M47:M48" si="10">L47*10</f>
        <v>10</v>
      </c>
      <c r="N47" s="133">
        <f t="shared" ref="N47:N50" si="11">L47*20</f>
        <v>20</v>
      </c>
      <c r="O47" s="133">
        <f t="shared" ref="O47" si="12">L47*500</f>
        <v>500</v>
      </c>
      <c r="P47" s="133">
        <f t="shared" ref="P47" si="13">L47*1000</f>
        <v>1000</v>
      </c>
      <c r="Q47" s="133">
        <f t="shared" ref="Q47" si="14">L47*10000</f>
        <v>10000</v>
      </c>
      <c r="R47" s="144"/>
      <c r="S47" s="140">
        <f>R47*M47</f>
        <v>0</v>
      </c>
      <c r="T47" s="144"/>
      <c r="U47" s="140">
        <f>T47*N47</f>
        <v>0</v>
      </c>
      <c r="V47" s="140"/>
      <c r="W47" s="140">
        <f>V47*O47</f>
        <v>0</v>
      </c>
      <c r="X47" s="140"/>
      <c r="Y47" s="140">
        <f>X47*P47</f>
        <v>0</v>
      </c>
      <c r="Z47" s="140"/>
      <c r="AA47" s="140">
        <f>Z47*Q47</f>
        <v>0</v>
      </c>
      <c r="AB47" s="149"/>
      <c r="AC47" s="7"/>
      <c r="AD47" s="7"/>
    </row>
    <row r="48" spans="1:30" ht="15.75" thickBot="1" x14ac:dyDescent="0.3">
      <c r="A48" s="48">
        <v>46</v>
      </c>
      <c r="B48" s="151"/>
      <c r="C48" s="89" t="s">
        <v>208</v>
      </c>
      <c r="D48" s="77" t="s">
        <v>209</v>
      </c>
      <c r="E48" s="14" t="s">
        <v>169</v>
      </c>
      <c r="F48" s="14" t="s">
        <v>210</v>
      </c>
      <c r="G48" s="8" t="s">
        <v>305</v>
      </c>
      <c r="H48" s="26" t="s">
        <v>236</v>
      </c>
      <c r="I48" s="26" t="s">
        <v>236</v>
      </c>
      <c r="J48" s="8" t="s">
        <v>236</v>
      </c>
      <c r="K48" s="10">
        <v>10</v>
      </c>
      <c r="L48" s="167">
        <v>1</v>
      </c>
      <c r="M48" s="10">
        <f t="shared" si="10"/>
        <v>10</v>
      </c>
      <c r="N48" s="10">
        <v>22</v>
      </c>
      <c r="O48" s="10">
        <v>520</v>
      </c>
      <c r="P48" s="10">
        <v>1050</v>
      </c>
      <c r="Q48" s="10">
        <v>10100</v>
      </c>
      <c r="R48" s="52">
        <v>0.22</v>
      </c>
      <c r="S48" s="11">
        <f>R48*M48</f>
        <v>2.2000000000000002</v>
      </c>
      <c r="T48" s="52">
        <v>0.22</v>
      </c>
      <c r="U48" s="11">
        <f>T48*N48</f>
        <v>4.84</v>
      </c>
      <c r="V48" s="11">
        <v>0.91</v>
      </c>
      <c r="W48" s="11">
        <f>V48*O48</f>
        <v>473.2</v>
      </c>
      <c r="X48" s="11">
        <v>0.54400000000000004</v>
      </c>
      <c r="Y48" s="11">
        <f>X48*P48</f>
        <v>571.20000000000005</v>
      </c>
      <c r="Z48" s="11">
        <v>0.7</v>
      </c>
      <c r="AA48" s="11">
        <f>Z48*Q48</f>
        <v>7070</v>
      </c>
      <c r="AB48" s="12"/>
      <c r="AC48" s="7"/>
      <c r="AD48" s="7"/>
    </row>
    <row r="49" spans="1:30" ht="15.75" thickBot="1" x14ac:dyDescent="0.3">
      <c r="A49" s="48">
        <v>47</v>
      </c>
      <c r="B49" s="151"/>
      <c r="C49" s="87" t="s">
        <v>211</v>
      </c>
      <c r="D49" s="77" t="s">
        <v>212</v>
      </c>
      <c r="E49" s="14" t="s">
        <v>169</v>
      </c>
      <c r="F49" s="14" t="s">
        <v>213</v>
      </c>
      <c r="G49" s="8" t="s">
        <v>214</v>
      </c>
      <c r="H49" s="9" t="s">
        <v>236</v>
      </c>
      <c r="I49" s="9" t="s">
        <v>236</v>
      </c>
      <c r="J49" s="8" t="s">
        <v>236</v>
      </c>
      <c r="K49" s="10">
        <v>60</v>
      </c>
      <c r="L49" s="167">
        <v>2</v>
      </c>
      <c r="M49" s="10">
        <v>60</v>
      </c>
      <c r="N49" s="10">
        <v>60</v>
      </c>
      <c r="O49" s="10">
        <v>1050</v>
      </c>
      <c r="P49" s="10">
        <v>2100</v>
      </c>
      <c r="Q49" s="10">
        <v>20500</v>
      </c>
      <c r="R49" s="52">
        <v>0.90700000000000003</v>
      </c>
      <c r="S49" s="11">
        <f>R49*M49</f>
        <v>54.42</v>
      </c>
      <c r="T49" s="53">
        <v>0.98719999999999997</v>
      </c>
      <c r="U49" s="11">
        <f>T49*N49</f>
        <v>59.231999999999999</v>
      </c>
      <c r="V49" s="11">
        <v>0.66500000000000004</v>
      </c>
      <c r="W49" s="11">
        <f>V49*O49</f>
        <v>698.25</v>
      </c>
      <c r="X49" s="11">
        <v>0.69969999999999999</v>
      </c>
      <c r="Y49" s="11">
        <f>X49*P49</f>
        <v>1469.37</v>
      </c>
      <c r="Z49" s="11">
        <v>0.67500000000000004</v>
      </c>
      <c r="AA49" s="11">
        <f>Z49*Q49</f>
        <v>13837.500000000002</v>
      </c>
      <c r="AB49" s="34"/>
      <c r="AC49" s="7"/>
      <c r="AD49" s="7"/>
    </row>
    <row r="50" spans="1:30" ht="15.75" thickBot="1" x14ac:dyDescent="0.3">
      <c r="A50" s="136">
        <v>48</v>
      </c>
      <c r="B50" s="152"/>
      <c r="C50" s="88" t="s">
        <v>215</v>
      </c>
      <c r="D50" s="84" t="s">
        <v>42</v>
      </c>
      <c r="E50" s="19" t="s">
        <v>216</v>
      </c>
      <c r="F50" s="19" t="s">
        <v>217</v>
      </c>
      <c r="G50" s="17" t="s">
        <v>306</v>
      </c>
      <c r="H50" s="18" t="s">
        <v>307</v>
      </c>
      <c r="I50" s="17" t="s">
        <v>236</v>
      </c>
      <c r="J50" s="17" t="s">
        <v>236</v>
      </c>
      <c r="K50" s="126">
        <v>20</v>
      </c>
      <c r="L50" s="168">
        <v>1</v>
      </c>
      <c r="M50" s="20">
        <v>20</v>
      </c>
      <c r="N50" s="20">
        <f t="shared" si="11"/>
        <v>20</v>
      </c>
      <c r="O50" s="20">
        <v>520</v>
      </c>
      <c r="P50" s="20">
        <v>1160</v>
      </c>
      <c r="Q50" s="20">
        <v>10200</v>
      </c>
      <c r="R50" s="129">
        <v>6.5100000000000005E-2</v>
      </c>
      <c r="S50" s="21">
        <f>R50*M50</f>
        <v>1.302</v>
      </c>
      <c r="T50" s="130">
        <v>5.5100000000000003E-2</v>
      </c>
      <c r="U50" s="21">
        <f>T50*N50</f>
        <v>1.1020000000000001</v>
      </c>
      <c r="V50" s="21">
        <v>0.99</v>
      </c>
      <c r="W50" s="21">
        <f>V50*O50</f>
        <v>514.79999999999995</v>
      </c>
      <c r="X50" s="21">
        <v>5.79E-2</v>
      </c>
      <c r="Y50" s="21">
        <f>X50*P50</f>
        <v>67.164000000000001</v>
      </c>
      <c r="Z50" s="21">
        <v>1.78E-2</v>
      </c>
      <c r="AA50" s="21">
        <f>Z50*Q50</f>
        <v>181.56</v>
      </c>
      <c r="AB50" s="22"/>
      <c r="AC50" s="7"/>
      <c r="AD50" s="7"/>
    </row>
    <row r="51" spans="1:30" ht="15.75" thickBot="1" x14ac:dyDescent="0.3">
      <c r="H51" s="41"/>
      <c r="I51" s="41"/>
      <c r="J51" s="41"/>
      <c r="K51" s="41"/>
      <c r="L51" s="157" t="s">
        <v>43</v>
      </c>
      <c r="M51" s="157"/>
      <c r="N51" s="157"/>
      <c r="O51" s="157"/>
      <c r="P51" s="157"/>
      <c r="Q51" s="157"/>
      <c r="R51" s="157"/>
      <c r="S51" s="45">
        <f>SUM(S3:S50)</f>
        <v>265.20535000000001</v>
      </c>
      <c r="T51" s="45"/>
      <c r="U51" s="37">
        <f>SUM(U3:U50)</f>
        <v>407.83599999999979</v>
      </c>
      <c r="V51" s="37"/>
      <c r="W51" s="37">
        <f>SUM(W3:W50)</f>
        <v>8440.4286999999986</v>
      </c>
      <c r="X51" s="37"/>
      <c r="Y51" s="37">
        <f>SUM(Y3:Y50)</f>
        <v>13198.696</v>
      </c>
      <c r="Z51" s="37"/>
      <c r="AA51" s="37">
        <f>SUM(AA3:AA50)</f>
        <v>90954.99</v>
      </c>
      <c r="AB51" s="41"/>
      <c r="AC51" s="7"/>
      <c r="AD51" s="7"/>
    </row>
    <row r="52" spans="1:30" x14ac:dyDescent="0.25">
      <c r="H52" s="41"/>
      <c r="I52" s="41"/>
      <c r="J52" s="43"/>
      <c r="K52" s="41"/>
      <c r="L52" s="153" t="s">
        <v>44</v>
      </c>
      <c r="M52" s="153"/>
      <c r="N52" s="153"/>
      <c r="O52" s="153"/>
      <c r="P52" s="153"/>
      <c r="Q52" s="153"/>
      <c r="R52" s="153"/>
      <c r="S52" s="37">
        <f>S51/10</f>
        <v>26.520535000000002</v>
      </c>
      <c r="T52" s="42"/>
      <c r="U52" s="44">
        <f>U51/20</f>
        <v>20.391799999999989</v>
      </c>
      <c r="V52" s="44"/>
      <c r="W52" s="44">
        <f>W51/500</f>
        <v>16.880857399999996</v>
      </c>
      <c r="X52" s="44"/>
      <c r="Y52" s="44">
        <f>Y51/1000</f>
        <v>13.198696</v>
      </c>
      <c r="Z52" s="44"/>
      <c r="AA52" s="44">
        <f>AA51/10000</f>
        <v>9.0954990000000002</v>
      </c>
      <c r="AB52" s="41"/>
      <c r="AC52" s="7"/>
      <c r="AD52" s="7"/>
    </row>
    <row r="53" spans="1:30" x14ac:dyDescent="0.25">
      <c r="I53" s="39"/>
      <c r="J53" s="39"/>
      <c r="AC53" s="7"/>
      <c r="AD53" s="7"/>
    </row>
    <row r="54" spans="1:30" x14ac:dyDescent="0.25">
      <c r="J54" s="38"/>
      <c r="AC54" s="7"/>
      <c r="AD54" s="7"/>
    </row>
    <row r="55" spans="1:30" x14ac:dyDescent="0.25">
      <c r="I55" s="39"/>
      <c r="J55" s="39"/>
      <c r="AC55" s="7"/>
      <c r="AD55" s="7"/>
    </row>
    <row r="56" spans="1:30" x14ac:dyDescent="0.25">
      <c r="AC56" s="7"/>
      <c r="AD56" s="7"/>
    </row>
    <row r="57" spans="1:30" x14ac:dyDescent="0.25">
      <c r="AC57" s="7"/>
      <c r="AD57" s="7"/>
    </row>
    <row r="58" spans="1:30" x14ac:dyDescent="0.25">
      <c r="AC58" s="7"/>
      <c r="AD58" s="7"/>
    </row>
    <row r="59" spans="1:30" x14ac:dyDescent="0.25">
      <c r="AC59" s="7"/>
      <c r="AD59" s="7"/>
    </row>
  </sheetData>
  <mergeCells count="11">
    <mergeCell ref="B47:B50"/>
    <mergeCell ref="L52:R52"/>
    <mergeCell ref="A1:AB1"/>
    <mergeCell ref="L51:R51"/>
    <mergeCell ref="B3:B11"/>
    <mergeCell ref="B12:B14"/>
    <mergeCell ref="B16:B18"/>
    <mergeCell ref="B19:B20"/>
    <mergeCell ref="B22:B35"/>
    <mergeCell ref="B36:B37"/>
    <mergeCell ref="B39:B46"/>
  </mergeCells>
  <conditionalFormatting sqref="AB45">
    <cfRule type="dataBar" priority="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{E93E5041-7595-4B70-A4DE-203BDFD45186}</x14:id>
        </ext>
      </extLst>
    </cfRule>
  </conditionalFormatting>
  <conditionalFormatting sqref="AB39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{301945FE-B701-4118-A9C3-5DA9DF529466}</x14:id>
        </ext>
      </extLst>
    </cfRule>
  </conditionalFormatting>
  <conditionalFormatting sqref="AB17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{C4FABE8D-C538-4F8C-AF3D-D761B6945538}</x14:id>
        </ext>
      </extLst>
    </cfRule>
  </conditionalFormatting>
  <conditionalFormatting sqref="AB12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{95C28DBC-1CBC-4CC5-8B31-E70202137348}</x14:id>
        </ext>
      </extLst>
    </cfRule>
  </conditionalFormatting>
  <conditionalFormatting sqref="AB49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{7D9785A5-B7CB-4186-8A59-C6DD0A9D39F0}</x14:id>
        </ext>
      </extLst>
    </cfRule>
  </conditionalFormatting>
  <conditionalFormatting sqref="S52:AA52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{23C19627-CC72-4F8E-BAD3-5ABFD29CE306}</x14:id>
        </ext>
      </extLst>
    </cfRule>
  </conditionalFormatting>
  <conditionalFormatting sqref="M3:Q50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AA50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{C84B8479-0C38-4E8A-A10C-CE0A75F3F79C}</x14:id>
        </ext>
      </extLst>
    </cfRule>
  </conditionalFormatting>
  <conditionalFormatting sqref="L3:L50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50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50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{CC5A7198-6EFD-4BBD-B2B4-FEA92BA29842}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3E5041-7595-4B70-A4DE-203BDFD451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301945FE-B701-4118-A9C3-5DA9DF5294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AB39</xm:sqref>
        </x14:conditionalFormatting>
        <x14:conditionalFormatting xmlns:xm="http://schemas.microsoft.com/office/excel/2006/main">
          <x14:cfRule type="dataBar" id="{C4FABE8D-C538-4F8C-AF3D-D761B694553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AB17</xm:sqref>
        </x14:conditionalFormatting>
        <x14:conditionalFormatting xmlns:xm="http://schemas.microsoft.com/office/excel/2006/main">
          <x14:cfRule type="dataBar" id="{95C28DBC-1CBC-4CC5-8B31-E702021373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AB12</xm:sqref>
        </x14:conditionalFormatting>
        <x14:conditionalFormatting xmlns:xm="http://schemas.microsoft.com/office/excel/2006/main">
          <x14:cfRule type="dataBar" id="{7D9785A5-B7CB-4186-8A59-C6DD0A9D39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23C19627-CC72-4F8E-BAD3-5ABFD29CE3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S52:AA52</xm:sqref>
        </x14:conditionalFormatting>
        <x14:conditionalFormatting xmlns:xm="http://schemas.microsoft.com/office/excel/2006/main">
          <x14:cfRule type="dataBar" id="{C84B8479-0C38-4E8A-A10C-CE0A75F3F7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U3:AA50</xm:sqref>
        </x14:conditionalFormatting>
        <x14:conditionalFormatting xmlns:xm="http://schemas.microsoft.com/office/excel/2006/main">
          <x14:cfRule type="dataBar" id="{CC5A7198-6EFD-4BBD-B2B4-FEA92BA29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2021-06-08T13:45:48Z</dcterms:created>
  <dcterms:modified xsi:type="dcterms:W3CDTF">2021-10-15T15:32:53Z</dcterms:modified>
</cp:coreProperties>
</file>