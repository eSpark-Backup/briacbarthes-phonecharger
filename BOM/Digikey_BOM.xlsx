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20" yWindow="-120" windowWidth="20730" windowHeight="11160"/>
  </bookViews>
  <sheets>
    <sheet name="Briac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3" i="1" l="1"/>
  <c r="R53" i="1"/>
  <c r="M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M25" i="1"/>
  <c r="T25" i="1"/>
  <c r="T26" i="1"/>
  <c r="T27" i="1"/>
  <c r="T28" i="1"/>
  <c r="T29" i="1"/>
  <c r="T30" i="1"/>
  <c r="T31" i="1"/>
  <c r="T32" i="1"/>
  <c r="M33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3" i="1"/>
  <c r="L4" i="1"/>
  <c r="R4" i="1"/>
  <c r="R5" i="1"/>
  <c r="R6" i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L25" i="1"/>
  <c r="R25" i="1"/>
  <c r="R26" i="1"/>
  <c r="R27" i="1"/>
  <c r="R28" i="1"/>
  <c r="R29" i="1"/>
  <c r="R30" i="1"/>
  <c r="R31" i="1"/>
  <c r="R32" i="1"/>
  <c r="L33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  <c r="K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K25" i="1"/>
  <c r="P25" i="1"/>
  <c r="P26" i="1"/>
  <c r="P27" i="1"/>
  <c r="P28" i="1"/>
  <c r="P29" i="1"/>
  <c r="P30" i="1"/>
  <c r="P31" i="1"/>
  <c r="P32" i="1"/>
  <c r="K33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6" i="1"/>
  <c r="L27" i="1"/>
  <c r="L28" i="1"/>
  <c r="L29" i="1"/>
  <c r="L30" i="1"/>
  <c r="L31" i="1"/>
  <c r="L32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3" i="1"/>
  <c r="T53" i="1"/>
  <c r="R54" i="1"/>
  <c r="Q54" i="1"/>
</calcChain>
</file>

<file path=xl/sharedStrings.xml><?xml version="1.0" encoding="utf-8"?>
<sst xmlns="http://schemas.openxmlformats.org/spreadsheetml/2006/main" count="367" uniqueCount="264">
  <si>
    <t>Description</t>
  </si>
  <si>
    <t>Designator</t>
  </si>
  <si>
    <t>Manufacturer</t>
  </si>
  <si>
    <t>Manufacturer Part Number</t>
  </si>
  <si>
    <t>0.1uF</t>
  </si>
  <si>
    <t>J1</t>
  </si>
  <si>
    <t>J6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</si>
  <si>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</si>
  <si>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</si>
  <si>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</si>
  <si>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</si>
  <si>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</si>
  <si>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</si>
  <si>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</si>
  <si>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</si>
  <si>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</si>
  <si>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</si>
  <si>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</si>
  <si>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</si>
  <si>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</si>
  <si>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</si>
  <si>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</si>
  <si>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</si>
  <si>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</si>
  <si>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</si>
  <si>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</si>
  <si>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R6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</si>
  <si>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</si>
  <si>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</si>
  <si>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</si>
  <si>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</si>
  <si>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</si>
  <si>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</si>
  <si>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</si>
  <si>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</si>
  <si>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</si>
  <si>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</si>
  <si>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</si>
  <si>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</si>
  <si>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Q1, Q2, Q3</t>
  </si>
  <si>
    <t>SOT-23</t>
  </si>
  <si>
    <t>U8</t>
  </si>
  <si>
    <t xml:space="preserve">Unit cost (1000) </t>
  </si>
  <si>
    <t>Total Cost(1000)</t>
  </si>
  <si>
    <t>Quantity 1000</t>
  </si>
  <si>
    <t>Link</t>
  </si>
  <si>
    <t>Quantity 10</t>
  </si>
  <si>
    <t>Unit Cost(10)</t>
  </si>
  <si>
    <t>Total Cost(10)</t>
  </si>
  <si>
    <t>Unit Cost (500 Boards)</t>
  </si>
  <si>
    <t>Total Cost (500)</t>
  </si>
  <si>
    <t>Quantity (per Board)</t>
  </si>
  <si>
    <t>Quantity 500</t>
  </si>
  <si>
    <t>C1</t>
  </si>
  <si>
    <t>C3, C9, C13, C14, C15</t>
  </si>
  <si>
    <t>C5, C6</t>
  </si>
  <si>
    <t>C7</t>
  </si>
  <si>
    <t>C10</t>
  </si>
  <si>
    <t>C11</t>
  </si>
  <si>
    <t>C16</t>
  </si>
  <si>
    <t>C29, C30</t>
  </si>
  <si>
    <t>100nF</t>
  </si>
  <si>
    <t>100pF</t>
  </si>
  <si>
    <t>150uF</t>
  </si>
  <si>
    <t>0.01uF</t>
  </si>
  <si>
    <t>22pF</t>
  </si>
  <si>
    <t>04025C104KAT2A</t>
  </si>
  <si>
    <t>CC0603KRX7R6BB104</t>
  </si>
  <si>
    <t>0805X226M100NT</t>
  </si>
  <si>
    <t>CA45-106K010AT</t>
  </si>
  <si>
    <t>CGA3E2C0G1H101JT0Y0N</t>
  </si>
  <si>
    <t>0402X104K250CT</t>
  </si>
  <si>
    <t>FN18N220J500PSG</t>
  </si>
  <si>
    <t>T495D157K010ATE100</t>
  </si>
  <si>
    <t>0402</t>
  </si>
  <si>
    <t>0603</t>
  </si>
  <si>
    <t>0805</t>
  </si>
  <si>
    <t>CASE-A_3216</t>
  </si>
  <si>
    <t>CASE-D_7343</t>
  </si>
  <si>
    <t>Ceramic Capacitor,100nF,10V,0603</t>
  </si>
  <si>
    <t>Ceramic Capacitor,22uF,10V,0805,X5R</t>
  </si>
  <si>
    <t>Tantalum capacitor 10uF 10V, CASE-A_3216</t>
  </si>
  <si>
    <t>Ceramic Capacitor,22pF,50V,0603</t>
  </si>
  <si>
    <t>D1, D9, D10</t>
  </si>
  <si>
    <t>D2, D3, D4</t>
  </si>
  <si>
    <t>D5, D6, D7, D8</t>
  </si>
  <si>
    <t>SOD-923-2</t>
  </si>
  <si>
    <t>SMD/SMT</t>
  </si>
  <si>
    <t>SS34</t>
  </si>
  <si>
    <t>ESD9X5.0ST5G</t>
  </si>
  <si>
    <t>N42180-06-S2</t>
  </si>
  <si>
    <t>40V 3A 550mV @ 3A SMA Schottky Barrier Diodes (SBD) RoHS</t>
  </si>
  <si>
    <t>Led Zpower Warm White 3000K 2SMD</t>
  </si>
  <si>
    <t>F1, F2</t>
  </si>
  <si>
    <t>Fuse</t>
  </si>
  <si>
    <t>SMD1206B200TF</t>
  </si>
  <si>
    <t xml:space="preserve">6V 3.5A 1.5s SMD PTC Resettable Fuses </t>
  </si>
  <si>
    <t>L3</t>
  </si>
  <si>
    <t>LED1</t>
  </si>
  <si>
    <t>LED2, LED3, LED4</t>
  </si>
  <si>
    <t>4.7uH</t>
  </si>
  <si>
    <t>1uH</t>
  </si>
  <si>
    <t>SMD,6x6x4.2mm</t>
  </si>
  <si>
    <t>10.0*11.5*4.0</t>
  </si>
  <si>
    <t>HPC6045NF-4R7MTH</t>
  </si>
  <si>
    <t>MCS1040-1R0MN1</t>
  </si>
  <si>
    <t>MGFL2012F100MT-LF</t>
  </si>
  <si>
    <t>KP DELPS1.FP-UGVI-34-Z555</t>
  </si>
  <si>
    <t>SI2302-TP</t>
  </si>
  <si>
    <t>4.7uH ±20% 4A 26mΩ SMD,6x6x4.2mm Power Inductors RoHS</t>
  </si>
  <si>
    <t>1uH ±20% 18A 3mΩ 10.0*11.5*4.0 Power Inductors RoHS</t>
  </si>
  <si>
    <t xml:space="preserve"> 
10uH ±20% 500mA 320mΩ 0805 Inductors (SMD)</t>
  </si>
  <si>
    <t>LED, Red, Untinted, Diffused</t>
  </si>
  <si>
    <t>LED, Green, Untinted, Diffused</t>
  </si>
  <si>
    <t>N-Channel 20V 3A 1.25W (Ta) Surface Mount SOT-23</t>
  </si>
  <si>
    <t>R1</t>
  </si>
  <si>
    <t>R2, R19, R20</t>
  </si>
  <si>
    <t>R5</t>
  </si>
  <si>
    <t>R9</t>
  </si>
  <si>
    <t>R10</t>
  </si>
  <si>
    <t>R11</t>
  </si>
  <si>
    <t>R14</t>
  </si>
  <si>
    <t>R21, R22, R23</t>
  </si>
  <si>
    <t>R24, R25, R26, R27</t>
  </si>
  <si>
    <t>0.001E</t>
  </si>
  <si>
    <t>1K</t>
  </si>
  <si>
    <t>33K</t>
  </si>
  <si>
    <t>100E</t>
  </si>
  <si>
    <t>0.05E</t>
  </si>
  <si>
    <t>12K</t>
  </si>
  <si>
    <t>0E</t>
  </si>
  <si>
    <t>10E</t>
  </si>
  <si>
    <t>41.2 K</t>
  </si>
  <si>
    <t>3.3K</t>
  </si>
  <si>
    <t>0.1E</t>
  </si>
  <si>
    <t>2512</t>
  </si>
  <si>
    <t>1206</t>
  </si>
  <si>
    <t>Pitch-2.5mm, TH</t>
  </si>
  <si>
    <t>LR2512D-2W-1mR-1%</t>
  </si>
  <si>
    <t>RS-03K1001FT</t>
  </si>
  <si>
    <t>RC0603FR-0733KL</t>
  </si>
  <si>
    <t>CR1206FR050P05R</t>
  </si>
  <si>
    <t>WR06X102 JTL</t>
  </si>
  <si>
    <t>RS-03K123JT</t>
  </si>
  <si>
    <t>WR06X000 PTL</t>
  </si>
  <si>
    <t>RS-03K100JT</t>
  </si>
  <si>
    <t>RK73B1JTTD103J</t>
  </si>
  <si>
    <t>RC0603FR-1041K2L</t>
  </si>
  <si>
    <t>RS-03K3301FT</t>
  </si>
  <si>
    <t>CR1206FR100P05R</t>
  </si>
  <si>
    <t>Thick Film Resistor - 0.001ohm, 1%, 2512</t>
  </si>
  <si>
    <t>Thick Film Resistor -  100Kohm, 1%, 0603</t>
  </si>
  <si>
    <t>Thick Film Resistor -  1Kohm, 1%, 0603</t>
  </si>
  <si>
    <t>Thick Film Resistor -  33Kohm, 1%, 0603</t>
  </si>
  <si>
    <t>Thick Film Resistor - 0.05ohm, 1%, 1206</t>
  </si>
  <si>
    <t>Thick Film Resistor - 1Kohm, 1%, 0603</t>
  </si>
  <si>
    <t>Thick Film Resistor -  12Kohm, 1%, 0603</t>
  </si>
  <si>
    <t>Thick Film Resistor - 10ohm, 1%, 0603</t>
  </si>
  <si>
    <t>Thick Film Resistor -  3.3Kohm, 1%, 0603</t>
  </si>
  <si>
    <t>Thick Film Resistor - 0.1ohm, 1%, 0.25W, 1206</t>
  </si>
  <si>
    <t>S1</t>
  </si>
  <si>
    <t>S2</t>
  </si>
  <si>
    <t>4.5X4.5X5mm_SMD</t>
  </si>
  <si>
    <t>TH</t>
  </si>
  <si>
    <t>UK-B0206-G5-160-JZ</t>
  </si>
  <si>
    <t>SKHHLQA010</t>
  </si>
  <si>
    <t>SPST 50mA @ 12VDC Top Actuated Round Button 160gf 4.5*4.5*5 Tactile Switch</t>
  </si>
  <si>
    <t>SPST 50mA @ 12VDC Side operation Round Button Through Hole Tactile Switches</t>
  </si>
  <si>
    <t>X1</t>
  </si>
  <si>
    <t>16Mhz</t>
  </si>
  <si>
    <t>SMD-2520_4P</t>
  </si>
  <si>
    <t>XXDPBISANF-16.000000</t>
  </si>
  <si>
    <t>U5</t>
  </si>
  <si>
    <t>SOT-23-6</t>
  </si>
  <si>
    <t>DW01A</t>
  </si>
  <si>
    <t>QFN-16_4x4x065P</t>
  </si>
  <si>
    <t>TP5000-QFN16</t>
  </si>
  <si>
    <t>TSSOP-8</t>
  </si>
  <si>
    <t>FS8205A</t>
  </si>
  <si>
    <t>INA181A3IDBVR</t>
  </si>
  <si>
    <t>VQFN-9</t>
  </si>
  <si>
    <t>TPS61235PRWLR</t>
  </si>
  <si>
    <t>TQFP-32</t>
  </si>
  <si>
    <t>ATMEGA328P-AU</t>
  </si>
  <si>
    <t>DW01A battery protection IC SOT-23-6 (Sunrom Product Code 4911)</t>
  </si>
  <si>
    <t>QFN-16_4x4x065P PMIC - Battery Management RoHS</t>
  </si>
  <si>
    <t>Dual N-Channel Mosfet TSSOP-8 (Sunrom Product Code 5292)</t>
  </si>
  <si>
    <t>MICROCHIP - ATMEGA328P-AU. - MICROCONTROLLER MCU, 8 BIT, ATMEGA, 20MHZ, TQFP-32</t>
  </si>
  <si>
    <r>
      <t>R12, R13, R15, R18,</t>
    </r>
    <r>
      <rPr>
        <sz val="10"/>
        <color rgb="FFFF0000"/>
        <rFont val="Calibri"/>
        <family val="2"/>
        <scheme val="minor"/>
      </rPr>
      <t>RE1,RE2</t>
    </r>
  </si>
  <si>
    <t>RE3</t>
  </si>
  <si>
    <t>Ce4</t>
  </si>
  <si>
    <t>MIC94082YFT-TR</t>
  </si>
  <si>
    <t>TISTPS2111APWR</t>
  </si>
  <si>
    <t>400R</t>
  </si>
  <si>
    <t>J3</t>
  </si>
  <si>
    <t>J4, J5</t>
  </si>
  <si>
    <t>694106301002</t>
  </si>
  <si>
    <t>Sunrom 3966</t>
  </si>
  <si>
    <t>292303-1</t>
  </si>
  <si>
    <t>TH 2.54MM</t>
  </si>
  <si>
    <t>PZ254V-12-6P</t>
  </si>
  <si>
    <t>USB B-type Female Right Angle PCB Mount</t>
  </si>
  <si>
    <t>Pin Header 6P 2 right-angle, P=2.54mm</t>
  </si>
  <si>
    <t xml:space="preserve">KYOCERA AVX
</t>
  </si>
  <si>
    <t>-</t>
  </si>
  <si>
    <t xml:space="preserve">CAP CER 0.1UF 50V X7R 0402
</t>
  </si>
  <si>
    <r>
      <t>C2, C17, C18, C19, C23, C24, C25, C26, C27, C28,C4, C8, C12, C20, C21, C22,</t>
    </r>
    <r>
      <rPr>
        <sz val="10"/>
        <color rgb="FFFF0000"/>
        <rFont val="Calibri"/>
        <family val="2"/>
        <scheme val="minor"/>
      </rPr>
      <t>Ce1,Ce2,Ce3,C31,C4</t>
    </r>
  </si>
  <si>
    <r>
      <t>R3, R7, R16, R17,</t>
    </r>
    <r>
      <rPr>
        <sz val="10"/>
        <color rgb="FFFF0000"/>
        <rFont val="Calibri"/>
        <family val="2"/>
        <scheme val="minor"/>
      </rPr>
      <t>R29</t>
    </r>
  </si>
  <si>
    <t>YAGEO</t>
  </si>
  <si>
    <t xml:space="preserve">CAP CER 100PF 50V C0G 0603
</t>
  </si>
  <si>
    <t xml:space="preserve">TDK </t>
  </si>
  <si>
    <t xml:space="preserve">CAP CER 0.1UF 25V X5R 0402
</t>
  </si>
  <si>
    <t xml:space="preserve">Walsin </t>
  </si>
  <si>
    <t xml:space="preserve">CAP TANT 150UF 10% 10V 2917
</t>
  </si>
  <si>
    <t>KEMET</t>
  </si>
  <si>
    <t xml:space="preserve">CAP CER 1UF 25V X5R 0603
</t>
  </si>
  <si>
    <t xml:space="preserve">TMK107BLD105KA-T
</t>
  </si>
  <si>
    <t xml:space="preserve">Taiyo Yuden
</t>
  </si>
  <si>
    <t>onsemi</t>
  </si>
  <si>
    <t xml:space="preserve">Seoul Semiconductor
</t>
  </si>
  <si>
    <t xml:space="preserve">KP </t>
  </si>
  <si>
    <t xml:space="preserve">OSRAM </t>
  </si>
  <si>
    <t xml:space="preserve">Micro </t>
  </si>
  <si>
    <t xml:space="preserve">RES 100 OHM 1% 1/10W 0603
</t>
  </si>
  <si>
    <t>RMCF0603FT100R</t>
  </si>
  <si>
    <t xml:space="preserve">Stackpole </t>
  </si>
  <si>
    <t xml:space="preserve">RES 10K OHM 5% 1/10W 0603
</t>
  </si>
  <si>
    <t xml:space="preserve">KOA </t>
  </si>
  <si>
    <t xml:space="preserve">Lead Time estimate 1/7/22 </t>
  </si>
  <si>
    <t xml:space="preserve">RES SMD 0.0 JUMPER 1/10W 0603
</t>
  </si>
  <si>
    <t xml:space="preserve">Lead Time estimate 5/26/22 </t>
  </si>
  <si>
    <t xml:space="preserve">RES 41.2K OHM 1% 1/10W 0603
</t>
  </si>
  <si>
    <t xml:space="preserve">Lead Time estimate 9/7/22 </t>
  </si>
  <si>
    <t>RT1206BRD07400RL</t>
  </si>
  <si>
    <t xml:space="preserve">RES SMD 400 OHM 0.1% 1/4W 1206
</t>
  </si>
  <si>
    <t>Taitien</t>
  </si>
  <si>
    <t xml:space="preserve">IC CURR SENSE 1 CIRCUIT SOT23-6
</t>
  </si>
  <si>
    <t xml:space="preserve">Texas </t>
  </si>
  <si>
    <t xml:space="preserve">IC REG BOOST 5.1V 6.5A 9VQFN
</t>
  </si>
  <si>
    <t xml:space="preserve">Lead Time estimate 4/30/22 </t>
  </si>
  <si>
    <t xml:space="preserve">Microchip </t>
  </si>
  <si>
    <t xml:space="preserve">Lead Time estimate 12/27/22 </t>
  </si>
  <si>
    <t xml:space="preserve">IC OR CTRLR SRC SELECT 8TSSOP
</t>
  </si>
  <si>
    <t xml:space="preserve">8-TSSOP
</t>
  </si>
  <si>
    <t xml:space="preserve">IC PWR SWITCH P-CHAN 1:1 4TMLF
</t>
  </si>
  <si>
    <t xml:space="preserve"> 
4-TMLF</t>
  </si>
  <si>
    <t xml:space="preserve">Lead Time estimate 7/20/22 </t>
  </si>
  <si>
    <t xml:space="preserve">CONN PWR JACK 2.1X5.5MM SOLDER
</t>
  </si>
  <si>
    <t xml:space="preserve">Würth </t>
  </si>
  <si>
    <t xml:space="preserve">CONN RCPT USB2.0 TYPEA 4POS R/A
</t>
  </si>
  <si>
    <t xml:space="preserve">TE </t>
  </si>
  <si>
    <t>LED</t>
  </si>
  <si>
    <t>Switch</t>
  </si>
  <si>
    <t>Crystal</t>
  </si>
  <si>
    <t>IC</t>
  </si>
  <si>
    <t xml:space="preserve">Connector </t>
  </si>
  <si>
    <t xml:space="preserve">CAP CER 10000PF 25V X7R 0603
</t>
  </si>
  <si>
    <t>06033C103JAT4A</t>
  </si>
  <si>
    <t xml:space="preserve">KYOCERA </t>
  </si>
  <si>
    <t xml:space="preserve">Lead Time estimate 1/13/22 </t>
  </si>
  <si>
    <t xml:space="preserve">CRYSTAL 16.0000MHZ 12PF SMD
</t>
  </si>
  <si>
    <t xml:space="preserve">TVS DIODE 5VWM 12.3VC SOD923
</t>
  </si>
  <si>
    <t xml:space="preserve">onsemi
</t>
  </si>
  <si>
    <t>Bill of Material (BOM) for Briac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</si>
</sst>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5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0" borderId="5" xfId="1" quotePrefix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1" quotePrefix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8" fillId="0" borderId="10" xfId="1" quotePrefix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5" xfId="0" quotePrefix="1" applyFont="1" applyFill="1" applyBorder="1" applyAlignment="1">
      <alignment horizontal="center" vertical="center"/>
    </xf>
    <xf numFmtId="164" fontId="7" fillId="0" borderId="5" xfId="0" applyNumberFormat="1" applyFont="1" applyFill="1" applyBorder="1" applyAlignment="1">
      <alignment horizontal="center" vertical="center"/>
    </xf>
    <xf numFmtId="0" fontId="7" fillId="0" borderId="7" xfId="0" applyFont="1" applyBorder="1"/>
    <xf numFmtId="0" fontId="4" fillId="5" borderId="5" xfId="0" quotePrefix="1" applyFont="1" applyFill="1" applyBorder="1" applyAlignment="1">
      <alignment horizontal="center" vertical="center"/>
    </xf>
    <xf numFmtId="0" fontId="4" fillId="5" borderId="10" xfId="0" quotePrefix="1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5" fontId="11" fillId="5" borderId="7" xfId="0" applyNumberFormat="1" applyFont="1" applyFill="1" applyBorder="1" applyAlignment="1">
      <alignment horizontal="center" vertical="center"/>
    </xf>
    <xf numFmtId="165" fontId="11" fillId="5" borderId="9" xfId="0" applyNumberFormat="1" applyFont="1" applyFill="1" applyBorder="1" applyAlignment="1">
      <alignment horizontal="center" vertical="center"/>
    </xf>
    <xf numFmtId="165" fontId="11" fillId="5" borderId="8" xfId="0" applyNumberFormat="1" applyFont="1" applyFill="1" applyBorder="1" applyAlignment="1">
      <alignment horizontal="center" vertical="center"/>
    </xf>
    <xf numFmtId="0" fontId="5" fillId="0" borderId="1" xfId="1" quotePrefix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0" fontId="7" fillId="0" borderId="1" xfId="0" quotePrefix="1" applyFont="1" applyFill="1" applyBorder="1" applyAlignment="1">
      <alignment horizontal="center" vertical="center"/>
    </xf>
    <xf numFmtId="164" fontId="7" fillId="0" borderId="1" xfId="0" applyNumberFormat="1" applyFont="1" applyFill="1" applyBorder="1" applyAlignment="1">
      <alignment horizontal="center" vertical="center"/>
    </xf>
    <xf numFmtId="0" fontId="5" fillId="0" borderId="1" xfId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4" fillId="5" borderId="1" xfId="0" quotePrefix="1" applyFont="1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1" xfId="0" quotePrefix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5" borderId="1" xfId="0" quotePrefix="1" applyFont="1" applyFill="1" applyBorder="1" applyAlignment="1">
      <alignment horizontal="center"/>
    </xf>
    <xf numFmtId="0" fontId="7" fillId="5" borderId="1" xfId="0" quotePrefix="1" applyFont="1" applyFill="1" applyBorder="1" applyAlignment="1">
      <alignment horizontal="center" wrapText="1"/>
    </xf>
    <xf numFmtId="0" fontId="15" fillId="5" borderId="1" xfId="0" quotePrefix="1" applyFont="1" applyFill="1" applyBorder="1" applyAlignment="1">
      <alignment horizontal="center"/>
    </xf>
    <xf numFmtId="0" fontId="16" fillId="5" borderId="1" xfId="0" quotePrefix="1" applyFont="1" applyFill="1" applyBorder="1" applyAlignment="1">
      <alignment horizontal="center"/>
    </xf>
    <xf numFmtId="0" fontId="7" fillId="5" borderId="5" xfId="0" quotePrefix="1" applyFont="1" applyFill="1" applyBorder="1" applyAlignment="1">
      <alignment horizontal="center"/>
    </xf>
    <xf numFmtId="0" fontId="7" fillId="0" borderId="5" xfId="0" quotePrefix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5" fillId="0" borderId="5" xfId="1" quotePrefix="1" applyBorder="1" applyAlignment="1">
      <alignment horizontal="center" vertical="center"/>
    </xf>
    <xf numFmtId="0" fontId="7" fillId="5" borderId="10" xfId="0" quotePrefix="1" applyFont="1" applyFill="1" applyBorder="1" applyAlignment="1">
      <alignment horizontal="center"/>
    </xf>
    <xf numFmtId="0" fontId="7" fillId="0" borderId="10" xfId="0" quotePrefix="1" applyFont="1" applyBorder="1" applyAlignment="1">
      <alignment horizontal="center"/>
    </xf>
    <xf numFmtId="0" fontId="4" fillId="0" borderId="10" xfId="0" quotePrefix="1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7" fillId="0" borderId="11" xfId="0" quotePrefix="1" applyFont="1" applyBorder="1" applyAlignment="1">
      <alignment horizontal="left"/>
    </xf>
    <xf numFmtId="0" fontId="7" fillId="0" borderId="12" xfId="0" quotePrefix="1" applyFont="1" applyBorder="1" applyAlignment="1">
      <alignment horizontal="left"/>
    </xf>
    <xf numFmtId="0" fontId="7" fillId="0" borderId="13" xfId="0" quotePrefix="1" applyFont="1" applyBorder="1" applyAlignment="1">
      <alignment horizontal="left"/>
    </xf>
    <xf numFmtId="0" fontId="7" fillId="0" borderId="12" xfId="0" quotePrefix="1" applyFont="1" applyBorder="1"/>
    <xf numFmtId="0" fontId="7" fillId="0" borderId="12" xfId="0" quotePrefix="1" applyFont="1" applyBorder="1" applyAlignment="1"/>
    <xf numFmtId="0" fontId="4" fillId="0" borderId="12" xfId="0" quotePrefix="1" applyFont="1" applyBorder="1" applyAlignment="1">
      <alignment horizontal="left"/>
    </xf>
    <xf numFmtId="0" fontId="7" fillId="0" borderId="11" xfId="0" quotePrefix="1" applyFont="1" applyBorder="1"/>
    <xf numFmtId="0" fontId="7" fillId="0" borderId="8" xfId="0" applyFont="1" applyBorder="1"/>
    <xf numFmtId="0" fontId="7" fillId="0" borderId="13" xfId="0" quotePrefix="1" applyFont="1" applyBorder="1"/>
    <xf numFmtId="0" fontId="7" fillId="0" borderId="20" xfId="0" quotePrefix="1" applyFont="1" applyBorder="1"/>
    <xf numFmtId="0" fontId="7" fillId="5" borderId="18" xfId="0" quotePrefix="1" applyFont="1" applyFill="1" applyBorder="1" applyAlignment="1">
      <alignment horizontal="center"/>
    </xf>
    <xf numFmtId="0" fontId="7" fillId="0" borderId="18" xfId="0" quotePrefix="1" applyFont="1" applyBorder="1" applyAlignment="1">
      <alignment horizontal="center" vertical="center"/>
    </xf>
    <xf numFmtId="0" fontId="4" fillId="0" borderId="18" xfId="0" quotePrefix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0" fontId="5" fillId="0" borderId="10" xfId="1" quotePrefix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7" fillId="0" borderId="21" xfId="0" quotePrefix="1" applyFont="1" applyBorder="1"/>
    <xf numFmtId="0" fontId="7" fillId="5" borderId="22" xfId="0" quotePrefix="1" applyFont="1" applyFill="1" applyBorder="1" applyAlignment="1">
      <alignment horizontal="center"/>
    </xf>
    <xf numFmtId="0" fontId="4" fillId="0" borderId="22" xfId="0" quotePrefix="1" applyFont="1" applyBorder="1" applyAlignment="1">
      <alignment horizontal="center"/>
    </xf>
    <xf numFmtId="0" fontId="7" fillId="0" borderId="22" xfId="0" quotePrefix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8" fillId="0" borderId="22" xfId="1" quotePrefix="1" applyFont="1" applyBorder="1" applyAlignment="1">
      <alignment horizontal="center" vertical="center"/>
    </xf>
    <xf numFmtId="16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64" fontId="9" fillId="3" borderId="5" xfId="0" applyNumberFormat="1" applyFont="1" applyFill="1" applyBorder="1" applyAlignment="1">
      <alignment horizontal="center" vertical="center" wrapText="1"/>
    </xf>
    <xf numFmtId="0" fontId="7" fillId="0" borderId="18" xfId="0" quotePrefix="1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18" xfId="1" quotePrefix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0" borderId="13" xfId="0" quotePrefix="1" applyFont="1" applyBorder="1" applyAlignment="1"/>
    <xf numFmtId="0" fontId="15" fillId="5" borderId="10" xfId="0" quotePrefix="1" applyFont="1" applyFill="1" applyBorder="1" applyAlignment="1">
      <alignment horizontal="center"/>
    </xf>
    <xf numFmtId="0" fontId="0" fillId="0" borderId="5" xfId="0" quotePrefix="1" applyBorder="1" applyAlignment="1">
      <alignment horizontal="center"/>
    </xf>
    <xf numFmtId="0" fontId="0" fillId="0" borderId="5" xfId="0" quotePrefix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3" xfId="0" quotePrefix="1" applyFont="1" applyBorder="1" applyAlignment="1">
      <alignment horizontal="left"/>
    </xf>
    <xf numFmtId="0" fontId="4" fillId="5" borderId="10" xfId="0" quotePrefix="1" applyFont="1" applyFill="1" applyBorder="1" applyAlignment="1">
      <alignment horizontal="center"/>
    </xf>
    <xf numFmtId="0" fontId="5" fillId="0" borderId="10" xfId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0" fillId="0" borderId="18" xfId="0" quotePrefix="1" applyBorder="1"/>
    <xf numFmtId="0" fontId="7" fillId="0" borderId="11" xfId="0" quotePrefix="1" applyFont="1" applyBorder="1" applyAlignment="1"/>
    <xf numFmtId="0" fontId="0" fillId="4" borderId="5" xfId="0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center"/>
    </xf>
    <xf numFmtId="0" fontId="0" fillId="0" borderId="10" xfId="0" quotePrefix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2" xfId="0" quotePrefix="1" applyFont="1" applyBorder="1" applyAlignment="1">
      <alignment horizontal="left" vertical="center"/>
    </xf>
    <xf numFmtId="0" fontId="7" fillId="0" borderId="20" xfId="0" quotePrefix="1" applyFont="1" applyBorder="1" applyAlignment="1">
      <alignment horizontal="left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0" fillId="5" borderId="17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sram-opto-semiconductors-inc/KP-DELPS1-FP-UGVI-34-Z555-10-S/9999375?s=N4IgTCBcDaINIAUAEARAogGQQZQIwDoAxBAWgFUBxANQEkSBmAFhIC0BWDkAXQF8g" TargetMode="External"/><Relationship Id="rId13" Type="http://schemas.openxmlformats.org/officeDocument/2006/relationships/hyperlink" Target="https://www.digikey.com/en/products/detail/walsin-technology-corporation/WR06X102-JTL/13241138?s=N4IgTCBcDaIOoCUAMA2AGgRiWABAKQBUAZEAXQF8g" TargetMode="External"/><Relationship Id="rId18" Type="http://schemas.openxmlformats.org/officeDocument/2006/relationships/hyperlink" Target="https://www.digikey.com/en/products/detail/taitien/XXDPBISANF-16-000000/6127783?s=N4IgTCBcDaIBpwCIAUBCBJAygQQHIDEBaARgDYA6ABmppAF0BfIA" TargetMode="External"/><Relationship Id="rId26" Type="http://schemas.openxmlformats.org/officeDocument/2006/relationships/hyperlink" Target="https://www.digikey.com/en/products/detail/kyocera-avx/06033C103JAT4A/1599358" TargetMode="External"/><Relationship Id="rId3" Type="http://schemas.openxmlformats.org/officeDocument/2006/relationships/hyperlink" Target="https://www.digikey.com/en/products/detail/tdk-corporation/CGA3E2C0G1H101J080AA/2443118?s=N4IgTCBcDaIMIHECCBmAomOAGBBGAErlrgFIAqWAmlgHIgC6AvkA" TargetMode="External"/><Relationship Id="rId21" Type="http://schemas.openxmlformats.org/officeDocument/2006/relationships/hyperlink" Target="https://www.digikey.com/en/products/detail/microchip-technology/ATMEGA328P-AU/1832260" TargetMode="External"/><Relationship Id="rId7" Type="http://schemas.openxmlformats.org/officeDocument/2006/relationships/hyperlink" Target="https://www.digikey.com/en/products/detail/seoul-semiconductor-inc/N42180-06-S2/2504440?s=N4IgTCBcDaIHIBYwEYAcAGAtOgbJgyhALoC%2BQA" TargetMode="External"/><Relationship Id="rId12" Type="http://schemas.openxmlformats.org/officeDocument/2006/relationships/hyperlink" Target="https://www.digikey.com/en/products/detail/stackpole-electronics-inc/RMCF0603FT100R/1761113" TargetMode="External"/><Relationship Id="rId17" Type="http://schemas.openxmlformats.org/officeDocument/2006/relationships/hyperlink" Target="https://www.digikey.com/en/products/detail/yageo/RT1206BRD07400RL/5936956" TargetMode="External"/><Relationship Id="rId25" Type="http://schemas.openxmlformats.org/officeDocument/2006/relationships/hyperlink" Target="https://www.digikey.com/en/products/detail/te-connectivity-amp-connectors/292303-1/773786" TargetMode="External"/><Relationship Id="rId2" Type="http://schemas.openxmlformats.org/officeDocument/2006/relationships/hyperlink" Target="https://www.digikey.com/en/products/detail/yageo/CC0603KRX7R6BB104/5883741?s=N4IgTCBcDaIMJwAwDZEGYDSAlAGgdi2QCEiBGRAFhAF0BfIA" TargetMode="External"/><Relationship Id="rId16" Type="http://schemas.openxmlformats.org/officeDocument/2006/relationships/hyperlink" Target="https://www.digikey.com/en/products/detail/yageo/RC0603FR-1041K2L/14008303?s=N4IgTCBcDaIEoGEAMA2JBmAYnAtARiQBY8BpMAGRAF0BfIA" TargetMode="External"/><Relationship Id="rId20" Type="http://schemas.openxmlformats.org/officeDocument/2006/relationships/hyperlink" Target="https://www.digikey.com/en/products/detail/texas-instruments/TPS61235PRWLR/6140193?s=N4IgTCBcDaICoAUDKA2AjGAzAVgQJQHUAZPEAXQF8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kyocera-avx/04025C104KAT2A/6564238?s=N4IgTCBcDaIAwBY5gKwGECMiDSBBAKmLiALoC%2BQA" TargetMode="External"/><Relationship Id="rId6" Type="http://schemas.openxmlformats.org/officeDocument/2006/relationships/hyperlink" Target="https://www.digikey.com/en/products/detail/onsemi/ESD9X5-0ST5G/1476616" TargetMode="External"/><Relationship Id="rId11" Type="http://schemas.openxmlformats.org/officeDocument/2006/relationships/hyperlink" Target="https://www.digikey.com/en/products/detail/yageo/RC0603FR-0733KL/727159?s=N4IgTCBcDaIEoGEAMA2JBmAYnAtEg7OugNIAyIAugL5A" TargetMode="External"/><Relationship Id="rId24" Type="http://schemas.openxmlformats.org/officeDocument/2006/relationships/hyperlink" Target="https://www.digikey.com/en/products/detail/w%C3%BCrth-elektronik/694106301002/5047522?s=N4IgTCBcDaIGwE4AsBGADHAzG9aIF0BfIA" TargetMode="External"/><Relationship Id="rId5" Type="http://schemas.openxmlformats.org/officeDocument/2006/relationships/hyperlink" Target="https://www.digikey.com/en/products/detail/taiyo-yuden/TMK107BLD105KA-T/7403451" TargetMode="External"/><Relationship Id="rId15" Type="http://schemas.openxmlformats.org/officeDocument/2006/relationships/hyperlink" Target="https://www.digikey.com/en/products/detail/walsin-technology-corporation/WR06X000-PTL/5978108?s=N4IgTCBcDaIOoCUAMA2AGkzACACgFQBkQBdAXyA" TargetMode="External"/><Relationship Id="rId23" Type="http://schemas.openxmlformats.org/officeDocument/2006/relationships/hyperlink" Target="https://www.digikey.com/en/products/detail/microchip-technology/MIC94082YFT-TR/1980901?s=N4IgTCBcDaILIEkDCBOALABgBxgJoDEAVAWkICUQBdAXyA" TargetMode="External"/><Relationship Id="rId28" Type="http://schemas.openxmlformats.org/officeDocument/2006/relationships/hyperlink" Target="https://www.digikey.com/en/products/detail/onsemi/SS34/1052384" TargetMode="External"/><Relationship Id="rId10" Type="http://schemas.openxmlformats.org/officeDocument/2006/relationships/hyperlink" Target="https://www.digikey.com/en/products/detail/micro-commercial-co/SI2302-TP/1793243?s=N4IgTCBcDaIMoEkwGYAMYC0AVACiAugL5A" TargetMode="External"/><Relationship Id="rId19" Type="http://schemas.openxmlformats.org/officeDocument/2006/relationships/hyperlink" Target="https://www.digikey.com/en/products/detail/texas-instruments/INA181A3IDBVR/8132992?s=N4IgTCBcDaIJIDkCCBGAHCpBmOARAQgGoBKIAugL5A" TargetMode="External"/><Relationship Id="rId4" Type="http://schemas.openxmlformats.org/officeDocument/2006/relationships/hyperlink" Target="https://www.digikey.com/en/products/detail/walsin-technology-corporation/0402X104K250CT/6707543?s=N4IgTCBcDaIAwBY5gBoEZEGkwFY4GEAVEAXQF8g" TargetMode="External"/><Relationship Id="rId9" Type="http://schemas.openxmlformats.org/officeDocument/2006/relationships/hyperlink" Target="https://www.digikey.com/en/products/detail/osram-opto-semiconductors-inc/KP-DELPS1-FP-UGVI-34-Z555-10-S/9999375?s=N4IgTCBcDaINIAUAEARAogGQQZQIwDoAxBAWgFUBxANQEkSBmAFhIC0BWDkAXQF8g" TargetMode="External"/><Relationship Id="rId14" Type="http://schemas.openxmlformats.org/officeDocument/2006/relationships/hyperlink" Target="https://www.digikey.com/en/products/detail/koa-speer-electronics-inc/RK73B1JTTD103J/9844697?s=N4IgTCBcDaIEoGkDsBmAQgRgFIBUcBEMAGFLEAXQF8g" TargetMode="External"/><Relationship Id="rId22" Type="http://schemas.openxmlformats.org/officeDocument/2006/relationships/hyperlink" Target="https://www.digikey.com/en/products/detail/texas-instruments/TPS2111APWR/652781?s=N4IgTCBcDaICoEkDKcAKSwEZsEFUHUAlEAXQF8g" TargetMode="External"/><Relationship Id="rId27" Type="http://schemas.openxmlformats.org/officeDocument/2006/relationships/hyperlink" Target="https://www.digikey.com/en/products/detail/kemet/T495D157K010ATE100/2309972?s=N4IgTCBcDaICoBYCcBWAIgRhQdgNIAYN8BBOAUSPx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2"/>
  <sheetViews>
    <sheetView tabSelected="1" topLeftCell="A25" zoomScale="86" zoomScaleNormal="85" workbookViewId="0">
      <selection activeCell="C51" sqref="C51"/>
    </sheetView>
  </sheetViews>
  <sheetFormatPr defaultRowHeight="15" x14ac:dyDescent="0.25"/>
  <cols>
    <col min="1" max="1" width="6.140625" style="25" bestFit="1" customWidth="1"/>
    <col min="2" max="2" width="14.42578125" customWidth="1"/>
    <col min="3" max="3" width="40.85546875" style="54" customWidth="1"/>
    <col min="4" max="4" width="31.5703125" style="25" bestFit="1" customWidth="1"/>
    <col min="5" max="5" width="18.5703125" style="25" bestFit="1" customWidth="1"/>
    <col min="6" max="6" width="25.28515625" style="56" bestFit="1" customWidth="1"/>
    <col min="7" max="7" width="19.140625" bestFit="1" customWidth="1"/>
    <col min="8" max="8" width="18.7109375" bestFit="1" customWidth="1"/>
    <col min="9" max="9" width="7.28515625" style="25" bestFit="1" customWidth="1"/>
    <col min="10" max="10" width="19.42578125" style="25" bestFit="1" customWidth="1"/>
    <col min="11" max="11" width="12" bestFit="1" customWidth="1"/>
    <col min="12" max="12" width="13.5703125" customWidth="1"/>
    <col min="13" max="13" width="13.85546875" customWidth="1"/>
    <col min="14" max="14" width="11.710937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25" bestFit="1" customWidth="1"/>
  </cols>
  <sheetData>
    <row r="1" spans="1:23" ht="16.5" thickBot="1" x14ac:dyDescent="0.3">
      <c r="A1" s="132" t="s">
        <v>263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4"/>
    </row>
    <row r="2" spans="1:23" ht="15.75" thickBot="1" x14ac:dyDescent="0.3">
      <c r="A2" s="2" t="s">
        <v>9</v>
      </c>
      <c r="B2" s="2" t="s">
        <v>10</v>
      </c>
      <c r="C2" s="2" t="s">
        <v>0</v>
      </c>
      <c r="D2" s="2" t="s">
        <v>1</v>
      </c>
      <c r="E2" s="58" t="s">
        <v>11</v>
      </c>
      <c r="F2" s="2" t="s">
        <v>3</v>
      </c>
      <c r="G2" s="2" t="s">
        <v>2</v>
      </c>
      <c r="H2" s="2" t="s">
        <v>12</v>
      </c>
      <c r="I2" s="2" t="s">
        <v>13</v>
      </c>
      <c r="J2" s="2" t="s">
        <v>51</v>
      </c>
      <c r="K2" s="2" t="s">
        <v>46</v>
      </c>
      <c r="L2" s="2" t="s">
        <v>52</v>
      </c>
      <c r="M2" s="2" t="s">
        <v>44</v>
      </c>
      <c r="N2" s="2" t="s">
        <v>45</v>
      </c>
      <c r="O2" s="2" t="s">
        <v>47</v>
      </c>
      <c r="P2" s="2" t="s">
        <v>48</v>
      </c>
      <c r="Q2" s="2" t="s">
        <v>49</v>
      </c>
      <c r="R2" s="2" t="s">
        <v>50</v>
      </c>
      <c r="S2" s="2" t="s">
        <v>42</v>
      </c>
      <c r="T2" s="2" t="s">
        <v>43</v>
      </c>
      <c r="U2" s="2" t="s">
        <v>14</v>
      </c>
    </row>
    <row r="3" spans="1:23" ht="15.75" thickBot="1" x14ac:dyDescent="0.3">
      <c r="A3" s="43">
        <v>1</v>
      </c>
      <c r="B3" s="127" t="s">
        <v>15</v>
      </c>
      <c r="C3" s="74" t="s">
        <v>205</v>
      </c>
      <c r="D3" s="66" t="s">
        <v>53</v>
      </c>
      <c r="E3" s="67" t="s">
        <v>74</v>
      </c>
      <c r="F3" s="26" t="s">
        <v>66</v>
      </c>
      <c r="G3" s="1" t="s">
        <v>203</v>
      </c>
      <c r="H3" s="26" t="s">
        <v>204</v>
      </c>
      <c r="I3" s="67" t="s">
        <v>61</v>
      </c>
      <c r="J3" s="68">
        <v>1</v>
      </c>
      <c r="K3" s="4">
        <f>J3*10</f>
        <v>10</v>
      </c>
      <c r="L3" s="4">
        <f>J3*500</f>
        <v>500</v>
      </c>
      <c r="M3" s="4">
        <f>J3*1000</f>
        <v>1000</v>
      </c>
      <c r="N3" s="69" t="s">
        <v>18</v>
      </c>
      <c r="O3" s="19">
        <v>7.0000000000000007E-2</v>
      </c>
      <c r="P3" s="19">
        <f>O3*K3</f>
        <v>0.70000000000000007</v>
      </c>
      <c r="Q3" s="19">
        <v>2.2179999999999998E-2</v>
      </c>
      <c r="R3" s="19">
        <f>Q3*L3</f>
        <v>11.09</v>
      </c>
      <c r="S3" s="19">
        <v>1.7430000000000001E-2</v>
      </c>
      <c r="T3" s="19">
        <f>S3*M3</f>
        <v>17.43</v>
      </c>
      <c r="U3" s="7"/>
      <c r="V3" s="3"/>
      <c r="W3" s="3"/>
    </row>
    <row r="4" spans="1:23" ht="39.75" thickBot="1" x14ac:dyDescent="0.3">
      <c r="A4" s="43">
        <v>2</v>
      </c>
      <c r="B4" s="128"/>
      <c r="C4" s="125" t="s">
        <v>79</v>
      </c>
      <c r="D4" s="63" t="s">
        <v>206</v>
      </c>
      <c r="E4" s="55" t="s">
        <v>75</v>
      </c>
      <c r="F4" s="27" t="s">
        <v>67</v>
      </c>
      <c r="G4" s="8" t="s">
        <v>208</v>
      </c>
      <c r="H4" s="27" t="s">
        <v>204</v>
      </c>
      <c r="I4" s="55" t="s">
        <v>61</v>
      </c>
      <c r="J4" s="9">
        <v>21</v>
      </c>
      <c r="K4" s="9">
        <f t="shared" ref="K4:K52" si="0">J4*10</f>
        <v>210</v>
      </c>
      <c r="L4" s="9">
        <f t="shared" ref="L4:L52" si="1">J4*500</f>
        <v>10500</v>
      </c>
      <c r="M4" s="9">
        <f t="shared" ref="M4:M52" si="2">J4*1000</f>
        <v>21000</v>
      </c>
      <c r="N4" s="41" t="s">
        <v>18</v>
      </c>
      <c r="O4" s="20">
        <v>3.7600000000000001E-2</v>
      </c>
      <c r="P4" s="20">
        <f t="shared" ref="P4:P52" si="3">O4*K4</f>
        <v>7.8959999999999999</v>
      </c>
      <c r="Q4" s="20">
        <v>1.9363809523809498E-2</v>
      </c>
      <c r="R4" s="20">
        <f t="shared" ref="R4:R52" si="4">Q4*L4</f>
        <v>203.31999999999974</v>
      </c>
      <c r="S4" s="20">
        <v>1.8744761904761899E-2</v>
      </c>
      <c r="T4" s="20">
        <f t="shared" ref="T4:T52" si="5">S4*M4</f>
        <v>393.63999999999987</v>
      </c>
      <c r="U4" s="12"/>
      <c r="V4" s="3"/>
      <c r="W4" s="3"/>
    </row>
    <row r="5" spans="1:23" ht="15.75" thickBot="1" x14ac:dyDescent="0.3">
      <c r="A5" s="43">
        <v>3</v>
      </c>
      <c r="B5" s="128"/>
      <c r="C5" s="75" t="s">
        <v>80</v>
      </c>
      <c r="D5" s="62" t="s">
        <v>54</v>
      </c>
      <c r="E5" s="55" t="s">
        <v>76</v>
      </c>
      <c r="F5" s="27" t="s">
        <v>68</v>
      </c>
      <c r="G5" s="8"/>
      <c r="H5" s="27"/>
      <c r="I5" s="55" t="s">
        <v>22</v>
      </c>
      <c r="J5" s="59">
        <v>5</v>
      </c>
      <c r="K5" s="9">
        <f t="shared" si="0"/>
        <v>50</v>
      </c>
      <c r="L5" s="9">
        <f t="shared" si="1"/>
        <v>2500</v>
      </c>
      <c r="M5" s="9">
        <f t="shared" si="2"/>
        <v>5000</v>
      </c>
      <c r="N5" s="11"/>
      <c r="O5" s="20"/>
      <c r="P5" s="20">
        <f t="shared" si="3"/>
        <v>0</v>
      </c>
      <c r="Q5" s="20"/>
      <c r="R5" s="20">
        <f t="shared" si="4"/>
        <v>0</v>
      </c>
      <c r="S5" s="48"/>
      <c r="T5" s="20">
        <f t="shared" si="5"/>
        <v>0</v>
      </c>
      <c r="U5" s="12"/>
      <c r="V5" s="3"/>
      <c r="W5" s="3"/>
    </row>
    <row r="6" spans="1:23" ht="15.75" thickBot="1" x14ac:dyDescent="0.3">
      <c r="A6" s="43">
        <v>4</v>
      </c>
      <c r="B6" s="128"/>
      <c r="C6" s="75" t="s">
        <v>81</v>
      </c>
      <c r="D6" s="62" t="s">
        <v>55</v>
      </c>
      <c r="E6" s="55" t="s">
        <v>77</v>
      </c>
      <c r="F6" s="27" t="s">
        <v>69</v>
      </c>
      <c r="G6" s="8"/>
      <c r="H6" s="27"/>
      <c r="I6" s="55" t="s">
        <v>23</v>
      </c>
      <c r="J6" s="59">
        <v>2</v>
      </c>
      <c r="K6" s="9">
        <f t="shared" si="0"/>
        <v>20</v>
      </c>
      <c r="L6" s="9">
        <f t="shared" si="1"/>
        <v>1000</v>
      </c>
      <c r="M6" s="9">
        <f t="shared" si="2"/>
        <v>2000</v>
      </c>
      <c r="N6" s="11"/>
      <c r="O6" s="20"/>
      <c r="P6" s="20">
        <f t="shared" si="3"/>
        <v>0</v>
      </c>
      <c r="Q6" s="20"/>
      <c r="R6" s="20">
        <f t="shared" si="4"/>
        <v>0</v>
      </c>
      <c r="S6" s="20"/>
      <c r="T6" s="20">
        <f t="shared" si="5"/>
        <v>0</v>
      </c>
      <c r="U6" s="12"/>
      <c r="V6" s="3"/>
      <c r="W6" s="3"/>
    </row>
    <row r="7" spans="1:23" ht="15.75" thickBot="1" x14ac:dyDescent="0.3">
      <c r="A7" s="43">
        <v>5</v>
      </c>
      <c r="B7" s="128"/>
      <c r="C7" s="75" t="s">
        <v>209</v>
      </c>
      <c r="D7" s="62" t="s">
        <v>56</v>
      </c>
      <c r="E7" s="55" t="s">
        <v>75</v>
      </c>
      <c r="F7" s="27" t="s">
        <v>70</v>
      </c>
      <c r="G7" s="8" t="s">
        <v>210</v>
      </c>
      <c r="H7" s="27" t="s">
        <v>204</v>
      </c>
      <c r="I7" s="55" t="s">
        <v>62</v>
      </c>
      <c r="J7" s="59">
        <v>1</v>
      </c>
      <c r="K7" s="9">
        <f t="shared" si="0"/>
        <v>10</v>
      </c>
      <c r="L7" s="9">
        <f t="shared" si="1"/>
        <v>500</v>
      </c>
      <c r="M7" s="9">
        <f t="shared" si="2"/>
        <v>1000</v>
      </c>
      <c r="N7" s="41" t="s">
        <v>18</v>
      </c>
      <c r="O7" s="20">
        <v>0.122</v>
      </c>
      <c r="P7" s="20">
        <f t="shared" si="3"/>
        <v>1.22</v>
      </c>
      <c r="Q7" s="20">
        <v>4.0259999999999997E-2</v>
      </c>
      <c r="R7" s="20">
        <f t="shared" si="4"/>
        <v>20.13</v>
      </c>
      <c r="S7" s="20">
        <v>3.3329999999999999E-2</v>
      </c>
      <c r="T7" s="20">
        <f t="shared" si="5"/>
        <v>33.33</v>
      </c>
      <c r="U7" s="12"/>
      <c r="V7" s="3"/>
      <c r="W7" s="3"/>
    </row>
    <row r="8" spans="1:23" ht="15.75" thickBot="1" x14ac:dyDescent="0.3">
      <c r="A8" s="43">
        <v>6</v>
      </c>
      <c r="B8" s="128"/>
      <c r="C8" s="75" t="s">
        <v>211</v>
      </c>
      <c r="D8" s="62" t="s">
        <v>57</v>
      </c>
      <c r="E8" s="55" t="s">
        <v>76</v>
      </c>
      <c r="F8" s="27" t="s">
        <v>71</v>
      </c>
      <c r="G8" s="8" t="s">
        <v>212</v>
      </c>
      <c r="H8" s="27" t="s">
        <v>204</v>
      </c>
      <c r="I8" s="55" t="s">
        <v>4</v>
      </c>
      <c r="J8" s="59">
        <v>1</v>
      </c>
      <c r="K8" s="9">
        <f t="shared" si="0"/>
        <v>10</v>
      </c>
      <c r="L8" s="9">
        <f t="shared" si="1"/>
        <v>500</v>
      </c>
      <c r="M8" s="9">
        <f t="shared" si="2"/>
        <v>1000</v>
      </c>
      <c r="N8" s="41" t="s">
        <v>18</v>
      </c>
      <c r="O8" s="20">
        <v>2.5999999999999999E-2</v>
      </c>
      <c r="P8" s="20">
        <f t="shared" si="3"/>
        <v>0.26</v>
      </c>
      <c r="Q8" s="20">
        <v>8.3999999999999995E-3</v>
      </c>
      <c r="R8" s="20">
        <f t="shared" si="4"/>
        <v>4.2</v>
      </c>
      <c r="S8" s="20">
        <v>6.6E-3</v>
      </c>
      <c r="T8" s="20">
        <f t="shared" si="5"/>
        <v>6.6</v>
      </c>
      <c r="U8" s="12"/>
      <c r="V8" s="3"/>
      <c r="W8" s="3"/>
    </row>
    <row r="9" spans="1:23" ht="15.75" thickBot="1" x14ac:dyDescent="0.3">
      <c r="A9" s="43">
        <v>7</v>
      </c>
      <c r="B9" s="128"/>
      <c r="C9" s="75" t="s">
        <v>213</v>
      </c>
      <c r="D9" s="62" t="s">
        <v>58</v>
      </c>
      <c r="E9" s="55" t="s">
        <v>78</v>
      </c>
      <c r="F9" s="27" t="s">
        <v>73</v>
      </c>
      <c r="G9" s="8" t="s">
        <v>214</v>
      </c>
      <c r="H9" s="27" t="s">
        <v>204</v>
      </c>
      <c r="I9" s="55" t="s">
        <v>63</v>
      </c>
      <c r="J9" s="59">
        <v>1</v>
      </c>
      <c r="K9" s="9">
        <f t="shared" si="0"/>
        <v>10</v>
      </c>
      <c r="L9" s="9">
        <f t="shared" si="1"/>
        <v>500</v>
      </c>
      <c r="M9" s="9">
        <f t="shared" si="2"/>
        <v>1000</v>
      </c>
      <c r="N9" s="41" t="s">
        <v>18</v>
      </c>
      <c r="O9" s="20">
        <v>1.5189999999999999</v>
      </c>
      <c r="P9" s="20">
        <f t="shared" si="3"/>
        <v>15.19</v>
      </c>
      <c r="Q9" s="20">
        <v>0.86097999999999997</v>
      </c>
      <c r="R9" s="20">
        <f t="shared" si="4"/>
        <v>430.49</v>
      </c>
      <c r="S9" s="20">
        <v>0.86097999999999997</v>
      </c>
      <c r="T9" s="20">
        <f t="shared" si="5"/>
        <v>860.98</v>
      </c>
      <c r="U9" s="106" t="s">
        <v>259</v>
      </c>
      <c r="V9" s="3"/>
      <c r="W9" s="3"/>
    </row>
    <row r="10" spans="1:23" ht="15.75" thickBot="1" x14ac:dyDescent="0.3">
      <c r="A10" s="43">
        <v>8</v>
      </c>
      <c r="B10" s="128"/>
      <c r="C10" s="75" t="s">
        <v>256</v>
      </c>
      <c r="D10" s="62" t="s">
        <v>59</v>
      </c>
      <c r="E10" s="55" t="s">
        <v>76</v>
      </c>
      <c r="F10" s="27" t="s">
        <v>257</v>
      </c>
      <c r="G10" s="46" t="s">
        <v>258</v>
      </c>
      <c r="H10" s="27" t="s">
        <v>204</v>
      </c>
      <c r="I10" s="55" t="s">
        <v>64</v>
      </c>
      <c r="J10" s="59">
        <v>1</v>
      </c>
      <c r="K10" s="9">
        <f t="shared" si="0"/>
        <v>10</v>
      </c>
      <c r="L10" s="9">
        <f t="shared" si="1"/>
        <v>500</v>
      </c>
      <c r="M10" s="9">
        <f t="shared" si="2"/>
        <v>1000</v>
      </c>
      <c r="N10" s="41" t="s">
        <v>18</v>
      </c>
      <c r="O10" s="20">
        <v>7.0999999999999994E-2</v>
      </c>
      <c r="P10" s="20">
        <f t="shared" si="3"/>
        <v>0.71</v>
      </c>
      <c r="Q10" s="20">
        <v>2.2540000000000001E-2</v>
      </c>
      <c r="R10" s="20">
        <f t="shared" si="4"/>
        <v>11.270000000000001</v>
      </c>
      <c r="S10" s="20">
        <v>1.771E-2</v>
      </c>
      <c r="T10" s="20">
        <f t="shared" si="5"/>
        <v>17.71</v>
      </c>
      <c r="U10" s="12"/>
      <c r="V10" s="3"/>
      <c r="W10" s="3"/>
    </row>
    <row r="11" spans="1:23" ht="15.75" thickBot="1" x14ac:dyDescent="0.3">
      <c r="A11" s="43">
        <v>9</v>
      </c>
      <c r="B11" s="128"/>
      <c r="C11" s="75" t="s">
        <v>215</v>
      </c>
      <c r="D11" s="64" t="s">
        <v>190</v>
      </c>
      <c r="E11" s="55" t="s">
        <v>75</v>
      </c>
      <c r="F11" s="27" t="s">
        <v>216</v>
      </c>
      <c r="G11" s="8" t="s">
        <v>217</v>
      </c>
      <c r="H11" s="27" t="s">
        <v>204</v>
      </c>
      <c r="I11" s="55" t="s">
        <v>21</v>
      </c>
      <c r="J11" s="59">
        <v>1</v>
      </c>
      <c r="K11" s="9">
        <f t="shared" si="0"/>
        <v>10</v>
      </c>
      <c r="L11" s="9">
        <f t="shared" si="1"/>
        <v>500</v>
      </c>
      <c r="M11" s="9">
        <f t="shared" si="2"/>
        <v>1000</v>
      </c>
      <c r="N11" s="41" t="s">
        <v>18</v>
      </c>
      <c r="O11" s="20">
        <v>0.30599999999999999</v>
      </c>
      <c r="P11" s="20">
        <f t="shared" si="3"/>
        <v>3.06</v>
      </c>
      <c r="Q11" s="20">
        <v>0.13766</v>
      </c>
      <c r="R11" s="20">
        <f t="shared" si="4"/>
        <v>68.83</v>
      </c>
      <c r="S11" s="20">
        <v>0.11624</v>
      </c>
      <c r="T11" s="20">
        <f t="shared" si="5"/>
        <v>116.24</v>
      </c>
      <c r="U11" s="12"/>
      <c r="V11" s="3"/>
      <c r="W11" s="3"/>
    </row>
    <row r="12" spans="1:23" ht="15.75" thickBot="1" x14ac:dyDescent="0.3">
      <c r="A12" s="43">
        <v>10</v>
      </c>
      <c r="B12" s="129"/>
      <c r="C12" s="76" t="s">
        <v>82</v>
      </c>
      <c r="D12" s="70" t="s">
        <v>60</v>
      </c>
      <c r="E12" s="71" t="s">
        <v>75</v>
      </c>
      <c r="F12" s="29" t="s">
        <v>72</v>
      </c>
      <c r="G12" s="72"/>
      <c r="H12" s="29"/>
      <c r="I12" s="71" t="s">
        <v>65</v>
      </c>
      <c r="J12" s="73">
        <v>2</v>
      </c>
      <c r="K12" s="14">
        <f t="shared" si="0"/>
        <v>20</v>
      </c>
      <c r="L12" s="14">
        <f t="shared" si="1"/>
        <v>1000</v>
      </c>
      <c r="M12" s="14">
        <f t="shared" si="2"/>
        <v>2000</v>
      </c>
      <c r="N12" s="16"/>
      <c r="O12" s="21"/>
      <c r="P12" s="21">
        <f t="shared" si="3"/>
        <v>0</v>
      </c>
      <c r="Q12" s="21"/>
      <c r="R12" s="21">
        <f t="shared" si="4"/>
        <v>0</v>
      </c>
      <c r="S12" s="21"/>
      <c r="T12" s="21">
        <f t="shared" si="5"/>
        <v>0</v>
      </c>
      <c r="U12" s="17"/>
      <c r="V12" s="3"/>
      <c r="W12" s="3"/>
    </row>
    <row r="13" spans="1:23" ht="15.75" thickBot="1" x14ac:dyDescent="0.3">
      <c r="A13" s="43">
        <v>11</v>
      </c>
      <c r="B13" s="127" t="s">
        <v>16</v>
      </c>
      <c r="C13" s="80" t="s">
        <v>91</v>
      </c>
      <c r="D13" s="66" t="s">
        <v>83</v>
      </c>
      <c r="E13" s="67" t="s">
        <v>24</v>
      </c>
      <c r="F13" s="26" t="s">
        <v>88</v>
      </c>
      <c r="G13" s="1" t="s">
        <v>262</v>
      </c>
      <c r="H13" s="26" t="s">
        <v>204</v>
      </c>
      <c r="I13" s="1" t="s">
        <v>204</v>
      </c>
      <c r="J13" s="5">
        <v>3</v>
      </c>
      <c r="K13" s="4">
        <f t="shared" si="0"/>
        <v>30</v>
      </c>
      <c r="L13" s="4">
        <f t="shared" si="1"/>
        <v>1500</v>
      </c>
      <c r="M13" s="4">
        <f t="shared" si="2"/>
        <v>3000</v>
      </c>
      <c r="N13" s="69" t="s">
        <v>18</v>
      </c>
      <c r="O13" s="19">
        <v>0.57499999999999996</v>
      </c>
      <c r="P13" s="19">
        <f t="shared" si="3"/>
        <v>17.25</v>
      </c>
      <c r="Q13" s="19">
        <v>0.34873999999999999</v>
      </c>
      <c r="R13" s="19">
        <f t="shared" si="4"/>
        <v>523.11</v>
      </c>
      <c r="S13" s="19">
        <v>0.28788000000000002</v>
      </c>
      <c r="T13" s="19">
        <f t="shared" si="5"/>
        <v>863.6400000000001</v>
      </c>
      <c r="U13" s="7"/>
      <c r="V13" s="3"/>
      <c r="W13" s="3"/>
    </row>
    <row r="14" spans="1:23" ht="15.75" thickBot="1" x14ac:dyDescent="0.3">
      <c r="A14" s="43">
        <v>12</v>
      </c>
      <c r="B14" s="128"/>
      <c r="C14" s="78" t="s">
        <v>261</v>
      </c>
      <c r="D14" s="62" t="s">
        <v>84</v>
      </c>
      <c r="E14" s="55" t="s">
        <v>86</v>
      </c>
      <c r="F14" s="27" t="s">
        <v>89</v>
      </c>
      <c r="G14" s="8" t="s">
        <v>218</v>
      </c>
      <c r="H14" s="27" t="s">
        <v>204</v>
      </c>
      <c r="I14" s="8" t="s">
        <v>204</v>
      </c>
      <c r="J14" s="10">
        <v>3</v>
      </c>
      <c r="K14" s="9">
        <f t="shared" si="0"/>
        <v>30</v>
      </c>
      <c r="L14" s="9">
        <f t="shared" si="1"/>
        <v>1500</v>
      </c>
      <c r="M14" s="9">
        <f t="shared" si="2"/>
        <v>3000</v>
      </c>
      <c r="N14" s="41" t="s">
        <v>18</v>
      </c>
      <c r="O14" s="20">
        <v>0.159</v>
      </c>
      <c r="P14" s="20">
        <f t="shared" si="3"/>
        <v>4.7700000000000005</v>
      </c>
      <c r="Q14" s="20">
        <v>3.6249999999999998E-2</v>
      </c>
      <c r="R14" s="20">
        <f t="shared" si="4"/>
        <v>54.374999999999993</v>
      </c>
      <c r="S14" s="20">
        <v>3.082E-2</v>
      </c>
      <c r="T14" s="20">
        <f t="shared" si="5"/>
        <v>92.46</v>
      </c>
      <c r="U14" s="40"/>
      <c r="V14" s="3"/>
      <c r="W14" s="3"/>
    </row>
    <row r="15" spans="1:23" ht="15.75" thickBot="1" x14ac:dyDescent="0.3">
      <c r="A15" s="43">
        <v>13</v>
      </c>
      <c r="B15" s="129"/>
      <c r="C15" s="82" t="s">
        <v>92</v>
      </c>
      <c r="D15" s="70" t="s">
        <v>85</v>
      </c>
      <c r="E15" s="71" t="s">
        <v>87</v>
      </c>
      <c r="F15" s="29" t="s">
        <v>90</v>
      </c>
      <c r="G15" s="13" t="s">
        <v>219</v>
      </c>
      <c r="H15" s="29" t="s">
        <v>204</v>
      </c>
      <c r="I15" s="13" t="s">
        <v>204</v>
      </c>
      <c r="J15" s="15">
        <v>4</v>
      </c>
      <c r="K15" s="14">
        <f t="shared" si="0"/>
        <v>40</v>
      </c>
      <c r="L15" s="14">
        <f t="shared" si="1"/>
        <v>2000</v>
      </c>
      <c r="M15" s="14">
        <f t="shared" si="2"/>
        <v>4000</v>
      </c>
      <c r="N15" s="90" t="s">
        <v>18</v>
      </c>
      <c r="O15" s="21">
        <v>2.2879999999999998</v>
      </c>
      <c r="P15" s="21">
        <f t="shared" si="3"/>
        <v>91.52</v>
      </c>
      <c r="Q15" s="21">
        <v>2.048</v>
      </c>
      <c r="R15" s="21">
        <f t="shared" si="4"/>
        <v>4096</v>
      </c>
      <c r="S15" s="21">
        <v>2.048</v>
      </c>
      <c r="T15" s="21">
        <f t="shared" si="5"/>
        <v>8192</v>
      </c>
      <c r="U15" s="17"/>
      <c r="V15" s="3"/>
      <c r="W15" s="3"/>
    </row>
    <row r="16" spans="1:23" ht="15.75" thickBot="1" x14ac:dyDescent="0.3">
      <c r="A16" s="43">
        <v>14</v>
      </c>
      <c r="B16" s="91" t="s">
        <v>94</v>
      </c>
      <c r="C16" s="92" t="s">
        <v>96</v>
      </c>
      <c r="D16" s="93" t="s">
        <v>93</v>
      </c>
      <c r="E16" s="94"/>
      <c r="F16" s="95" t="s">
        <v>95</v>
      </c>
      <c r="G16" s="96"/>
      <c r="H16" s="95"/>
      <c r="I16" s="96"/>
      <c r="J16" s="97">
        <v>2</v>
      </c>
      <c r="K16" s="98">
        <f t="shared" si="0"/>
        <v>20</v>
      </c>
      <c r="L16" s="98">
        <f t="shared" si="1"/>
        <v>1000</v>
      </c>
      <c r="M16" s="98">
        <f t="shared" si="2"/>
        <v>2000</v>
      </c>
      <c r="N16" s="99"/>
      <c r="O16" s="100"/>
      <c r="P16" s="100">
        <f t="shared" si="3"/>
        <v>0</v>
      </c>
      <c r="Q16" s="100"/>
      <c r="R16" s="100">
        <f t="shared" si="4"/>
        <v>0</v>
      </c>
      <c r="S16" s="100"/>
      <c r="T16" s="100">
        <f t="shared" si="5"/>
        <v>0</v>
      </c>
      <c r="U16" s="101"/>
      <c r="V16" s="3"/>
      <c r="W16" s="3"/>
    </row>
    <row r="17" spans="1:23" ht="15.75" thickBot="1" x14ac:dyDescent="0.3">
      <c r="A17" s="43">
        <v>15</v>
      </c>
      <c r="B17" s="127" t="s">
        <v>32</v>
      </c>
      <c r="C17" s="80" t="s">
        <v>109</v>
      </c>
      <c r="D17" s="66" t="s">
        <v>30</v>
      </c>
      <c r="E17" s="67" t="s">
        <v>102</v>
      </c>
      <c r="F17" s="26" t="s">
        <v>104</v>
      </c>
      <c r="G17" s="30"/>
      <c r="H17" s="31"/>
      <c r="I17" s="67" t="s">
        <v>100</v>
      </c>
      <c r="J17" s="68">
        <v>1</v>
      </c>
      <c r="K17" s="4">
        <f t="shared" si="0"/>
        <v>10</v>
      </c>
      <c r="L17" s="4">
        <f t="shared" si="1"/>
        <v>500</v>
      </c>
      <c r="M17" s="4">
        <f t="shared" si="2"/>
        <v>1000</v>
      </c>
      <c r="N17" s="6"/>
      <c r="O17" s="32"/>
      <c r="P17" s="19">
        <f t="shared" si="3"/>
        <v>0</v>
      </c>
      <c r="Q17" s="32"/>
      <c r="R17" s="19">
        <f t="shared" si="4"/>
        <v>0</v>
      </c>
      <c r="S17" s="19"/>
      <c r="T17" s="19">
        <f t="shared" si="5"/>
        <v>0</v>
      </c>
      <c r="U17" s="33"/>
      <c r="V17" s="3"/>
      <c r="W17" s="3"/>
    </row>
    <row r="18" spans="1:23" ht="15.75" thickBot="1" x14ac:dyDescent="0.3">
      <c r="A18" s="43">
        <v>16</v>
      </c>
      <c r="B18" s="128"/>
      <c r="C18" s="77" t="s">
        <v>110</v>
      </c>
      <c r="D18" s="62" t="s">
        <v>31</v>
      </c>
      <c r="E18" s="55" t="s">
        <v>103</v>
      </c>
      <c r="F18" s="27" t="s">
        <v>105</v>
      </c>
      <c r="G18" s="36"/>
      <c r="H18" s="49"/>
      <c r="I18" s="55" t="s">
        <v>101</v>
      </c>
      <c r="J18" s="59">
        <v>1</v>
      </c>
      <c r="K18" s="9">
        <f t="shared" si="0"/>
        <v>10</v>
      </c>
      <c r="L18" s="9">
        <f t="shared" si="1"/>
        <v>500</v>
      </c>
      <c r="M18" s="9">
        <f t="shared" si="2"/>
        <v>1000</v>
      </c>
      <c r="N18" s="11"/>
      <c r="O18" s="50"/>
      <c r="P18" s="20">
        <f t="shared" si="3"/>
        <v>0</v>
      </c>
      <c r="Q18" s="50"/>
      <c r="R18" s="20">
        <f t="shared" si="4"/>
        <v>0</v>
      </c>
      <c r="S18" s="20"/>
      <c r="T18" s="20">
        <f t="shared" si="5"/>
        <v>0</v>
      </c>
      <c r="U18" s="81"/>
      <c r="V18" s="3"/>
      <c r="W18" s="3"/>
    </row>
    <row r="19" spans="1:23" ht="15.75" thickBot="1" x14ac:dyDescent="0.3">
      <c r="A19" s="43">
        <v>17</v>
      </c>
      <c r="B19" s="129"/>
      <c r="C19" s="82" t="s">
        <v>111</v>
      </c>
      <c r="D19" s="70" t="s">
        <v>97</v>
      </c>
      <c r="E19" s="71" t="s">
        <v>76</v>
      </c>
      <c r="F19" s="29" t="s">
        <v>106</v>
      </c>
      <c r="G19" s="13"/>
      <c r="H19" s="13"/>
      <c r="I19" s="71" t="s">
        <v>33</v>
      </c>
      <c r="J19" s="73">
        <v>1</v>
      </c>
      <c r="K19" s="14">
        <f t="shared" si="0"/>
        <v>10</v>
      </c>
      <c r="L19" s="14">
        <f t="shared" si="1"/>
        <v>500</v>
      </c>
      <c r="M19" s="14">
        <f t="shared" si="2"/>
        <v>1000</v>
      </c>
      <c r="N19" s="16"/>
      <c r="O19" s="21"/>
      <c r="P19" s="21">
        <f t="shared" si="3"/>
        <v>0</v>
      </c>
      <c r="Q19" s="21"/>
      <c r="R19" s="21">
        <f t="shared" si="4"/>
        <v>0</v>
      </c>
      <c r="S19" s="21"/>
      <c r="T19" s="21">
        <f t="shared" si="5"/>
        <v>0</v>
      </c>
      <c r="U19" s="39"/>
      <c r="V19" s="3"/>
      <c r="W19" s="3"/>
    </row>
    <row r="20" spans="1:23" ht="15.75" thickBot="1" x14ac:dyDescent="0.3">
      <c r="A20" s="43">
        <v>18</v>
      </c>
      <c r="B20" s="127" t="s">
        <v>251</v>
      </c>
      <c r="C20" s="80" t="s">
        <v>112</v>
      </c>
      <c r="D20" s="66" t="s">
        <v>98</v>
      </c>
      <c r="E20" s="67" t="s">
        <v>137</v>
      </c>
      <c r="F20" s="26" t="s">
        <v>107</v>
      </c>
      <c r="G20" s="1" t="s">
        <v>220</v>
      </c>
      <c r="H20" s="1" t="s">
        <v>204</v>
      </c>
      <c r="I20" s="1" t="s">
        <v>204</v>
      </c>
      <c r="J20" s="68">
        <v>1</v>
      </c>
      <c r="K20" s="4">
        <f t="shared" si="0"/>
        <v>10</v>
      </c>
      <c r="L20" s="4">
        <f t="shared" si="1"/>
        <v>500</v>
      </c>
      <c r="M20" s="4">
        <f t="shared" si="2"/>
        <v>1000</v>
      </c>
      <c r="N20" s="69" t="s">
        <v>18</v>
      </c>
      <c r="O20" s="19">
        <v>0.28599999999999998</v>
      </c>
      <c r="P20" s="19">
        <f t="shared" si="3"/>
        <v>2.86</v>
      </c>
      <c r="Q20" s="102">
        <v>0.13203999999999999</v>
      </c>
      <c r="R20" s="19">
        <f t="shared" si="4"/>
        <v>66.02</v>
      </c>
      <c r="S20" s="19">
        <v>0.11003</v>
      </c>
      <c r="T20" s="19">
        <f t="shared" si="5"/>
        <v>110.03</v>
      </c>
      <c r="U20" s="38"/>
      <c r="V20" s="3"/>
      <c r="W20" s="3"/>
    </row>
    <row r="21" spans="1:23" ht="15.75" thickBot="1" x14ac:dyDescent="0.3">
      <c r="A21" s="43">
        <v>19</v>
      </c>
      <c r="B21" s="129"/>
      <c r="C21" s="82" t="s">
        <v>113</v>
      </c>
      <c r="D21" s="70" t="s">
        <v>99</v>
      </c>
      <c r="E21" s="71" t="s">
        <v>137</v>
      </c>
      <c r="F21" s="29" t="s">
        <v>107</v>
      </c>
      <c r="G21" s="13" t="s">
        <v>221</v>
      </c>
      <c r="H21" s="14" t="s">
        <v>204</v>
      </c>
      <c r="I21" s="13" t="s">
        <v>204</v>
      </c>
      <c r="J21" s="73">
        <v>3</v>
      </c>
      <c r="K21" s="14">
        <f t="shared" si="0"/>
        <v>30</v>
      </c>
      <c r="L21" s="14">
        <f t="shared" si="1"/>
        <v>1500</v>
      </c>
      <c r="M21" s="14">
        <f t="shared" si="2"/>
        <v>3000</v>
      </c>
      <c r="N21" s="90" t="s">
        <v>18</v>
      </c>
      <c r="O21" s="21">
        <v>0.28599999999999998</v>
      </c>
      <c r="P21" s="21">
        <f t="shared" si="3"/>
        <v>8.58</v>
      </c>
      <c r="Q21" s="21">
        <v>0.11003</v>
      </c>
      <c r="R21" s="21">
        <f t="shared" si="4"/>
        <v>165.04500000000002</v>
      </c>
      <c r="S21" s="21">
        <v>9.9030000000000007E-2</v>
      </c>
      <c r="T21" s="21">
        <f t="shared" si="5"/>
        <v>297.09000000000003</v>
      </c>
      <c r="U21" s="17"/>
      <c r="V21" s="3"/>
      <c r="W21" s="3"/>
    </row>
    <row r="22" spans="1:23" ht="15.75" thickBot="1" x14ac:dyDescent="0.3">
      <c r="A22" s="43">
        <v>20</v>
      </c>
      <c r="B22" s="47" t="s">
        <v>29</v>
      </c>
      <c r="C22" s="83" t="s">
        <v>114</v>
      </c>
      <c r="D22" s="84" t="s">
        <v>39</v>
      </c>
      <c r="E22" s="103" t="s">
        <v>40</v>
      </c>
      <c r="F22" s="85" t="s">
        <v>108</v>
      </c>
      <c r="G22" s="86" t="s">
        <v>222</v>
      </c>
      <c r="H22" s="86" t="s">
        <v>204</v>
      </c>
      <c r="I22" s="86" t="s">
        <v>204</v>
      </c>
      <c r="J22" s="104">
        <v>3</v>
      </c>
      <c r="K22" s="88">
        <f t="shared" si="0"/>
        <v>30</v>
      </c>
      <c r="L22" s="88">
        <f t="shared" si="1"/>
        <v>1500</v>
      </c>
      <c r="M22" s="88">
        <f t="shared" si="2"/>
        <v>3000</v>
      </c>
      <c r="N22" s="105" t="s">
        <v>18</v>
      </c>
      <c r="O22" s="89">
        <v>0.40300000000000002</v>
      </c>
      <c r="P22" s="89">
        <f t="shared" si="3"/>
        <v>12.09</v>
      </c>
      <c r="Q22" s="89">
        <v>0.15443999999999999</v>
      </c>
      <c r="R22" s="89">
        <f t="shared" si="4"/>
        <v>231.66</v>
      </c>
      <c r="S22" s="89">
        <v>0.14157</v>
      </c>
      <c r="T22" s="89">
        <f t="shared" si="5"/>
        <v>424.71</v>
      </c>
      <c r="U22" s="124"/>
      <c r="V22" s="3"/>
      <c r="W22" s="3"/>
    </row>
    <row r="23" spans="1:23" ht="15.75" thickBot="1" x14ac:dyDescent="0.3">
      <c r="A23" s="43">
        <v>21</v>
      </c>
      <c r="B23" s="127" t="s">
        <v>17</v>
      </c>
      <c r="C23" s="80" t="s">
        <v>150</v>
      </c>
      <c r="D23" s="66" t="s">
        <v>115</v>
      </c>
      <c r="E23" s="67" t="s">
        <v>135</v>
      </c>
      <c r="F23" s="26" t="s">
        <v>138</v>
      </c>
      <c r="G23" s="1"/>
      <c r="H23" s="1"/>
      <c r="I23" s="67" t="s">
        <v>124</v>
      </c>
      <c r="J23" s="68">
        <v>1</v>
      </c>
      <c r="K23" s="4">
        <f t="shared" si="0"/>
        <v>10</v>
      </c>
      <c r="L23" s="4">
        <f t="shared" si="1"/>
        <v>500</v>
      </c>
      <c r="M23" s="4">
        <f t="shared" si="2"/>
        <v>1000</v>
      </c>
      <c r="N23" s="6"/>
      <c r="O23" s="19"/>
      <c r="P23" s="19">
        <f t="shared" si="3"/>
        <v>0</v>
      </c>
      <c r="Q23" s="19"/>
      <c r="R23" s="19">
        <f t="shared" si="4"/>
        <v>0</v>
      </c>
      <c r="S23" s="19"/>
      <c r="T23" s="19">
        <f t="shared" si="5"/>
        <v>0</v>
      </c>
      <c r="U23" s="7"/>
      <c r="V23" s="3"/>
      <c r="W23" s="3"/>
    </row>
    <row r="24" spans="1:23" ht="15.75" thickBot="1" x14ac:dyDescent="0.3">
      <c r="A24" s="43">
        <v>22</v>
      </c>
      <c r="B24" s="128"/>
      <c r="C24" s="77" t="s">
        <v>151</v>
      </c>
      <c r="D24" s="62" t="s">
        <v>116</v>
      </c>
      <c r="E24" s="55" t="s">
        <v>75</v>
      </c>
      <c r="F24" s="27" t="s">
        <v>139</v>
      </c>
      <c r="G24" s="8"/>
      <c r="H24" s="8"/>
      <c r="I24" s="55" t="s">
        <v>7</v>
      </c>
      <c r="J24" s="59">
        <v>3</v>
      </c>
      <c r="K24" s="9">
        <f t="shared" si="0"/>
        <v>30</v>
      </c>
      <c r="L24" s="9">
        <f t="shared" si="1"/>
        <v>1500</v>
      </c>
      <c r="M24" s="9">
        <f t="shared" si="2"/>
        <v>3000</v>
      </c>
      <c r="N24" s="11"/>
      <c r="O24" s="20"/>
      <c r="P24" s="20">
        <f t="shared" si="3"/>
        <v>0</v>
      </c>
      <c r="Q24" s="20"/>
      <c r="R24" s="20">
        <f t="shared" si="4"/>
        <v>0</v>
      </c>
      <c r="S24" s="20"/>
      <c r="T24" s="20">
        <f t="shared" si="5"/>
        <v>0</v>
      </c>
      <c r="U24" s="12"/>
      <c r="V24" s="3"/>
      <c r="W24" s="3"/>
    </row>
    <row r="25" spans="1:23" ht="15.75" thickBot="1" x14ac:dyDescent="0.3">
      <c r="A25" s="43">
        <v>23</v>
      </c>
      <c r="B25" s="128"/>
      <c r="C25" s="77" t="s">
        <v>152</v>
      </c>
      <c r="D25" s="62" t="s">
        <v>207</v>
      </c>
      <c r="E25" s="55" t="s">
        <v>75</v>
      </c>
      <c r="F25" s="27" t="s">
        <v>139</v>
      </c>
      <c r="G25" s="8"/>
      <c r="H25" s="8"/>
      <c r="I25" s="55" t="s">
        <v>125</v>
      </c>
      <c r="J25" s="59">
        <v>5</v>
      </c>
      <c r="K25" s="9">
        <f t="shared" si="0"/>
        <v>50</v>
      </c>
      <c r="L25" s="9">
        <f t="shared" si="1"/>
        <v>2500</v>
      </c>
      <c r="M25" s="9">
        <f t="shared" si="2"/>
        <v>5000</v>
      </c>
      <c r="N25" s="11"/>
      <c r="O25" s="20"/>
      <c r="P25" s="20">
        <f t="shared" si="3"/>
        <v>0</v>
      </c>
      <c r="Q25" s="20"/>
      <c r="R25" s="20">
        <f t="shared" si="4"/>
        <v>0</v>
      </c>
      <c r="S25" s="20"/>
      <c r="T25" s="20">
        <f t="shared" si="5"/>
        <v>0</v>
      </c>
      <c r="U25" s="12"/>
      <c r="V25" s="3"/>
      <c r="W25" s="3"/>
    </row>
    <row r="26" spans="1:23" ht="15.75" thickBot="1" x14ac:dyDescent="0.3">
      <c r="A26" s="43">
        <v>24</v>
      </c>
      <c r="B26" s="128"/>
      <c r="C26" s="77" t="s">
        <v>153</v>
      </c>
      <c r="D26" s="62" t="s">
        <v>25</v>
      </c>
      <c r="E26" s="55" t="s">
        <v>75</v>
      </c>
      <c r="F26" s="27" t="s">
        <v>140</v>
      </c>
      <c r="G26" s="8" t="s">
        <v>208</v>
      </c>
      <c r="H26" s="8" t="s">
        <v>204</v>
      </c>
      <c r="I26" s="55" t="s">
        <v>126</v>
      </c>
      <c r="J26" s="59">
        <v>1</v>
      </c>
      <c r="K26" s="9">
        <f t="shared" si="0"/>
        <v>10</v>
      </c>
      <c r="L26" s="9">
        <f t="shared" si="1"/>
        <v>500</v>
      </c>
      <c r="M26" s="9">
        <f t="shared" si="2"/>
        <v>1000</v>
      </c>
      <c r="N26" s="41" t="s">
        <v>18</v>
      </c>
      <c r="O26" s="20">
        <v>2.4E-2</v>
      </c>
      <c r="P26" s="20">
        <f t="shared" si="3"/>
        <v>0.24</v>
      </c>
      <c r="Q26" s="20">
        <v>9.7000000000000003E-3</v>
      </c>
      <c r="R26" s="20">
        <f t="shared" si="4"/>
        <v>4.8500000000000005</v>
      </c>
      <c r="S26" s="20">
        <v>4.3600000000000002E-3</v>
      </c>
      <c r="T26" s="20">
        <f t="shared" si="5"/>
        <v>4.3600000000000003</v>
      </c>
      <c r="U26" s="12"/>
      <c r="V26" s="3"/>
      <c r="W26" s="3"/>
    </row>
    <row r="27" spans="1:23" ht="15.75" thickBot="1" x14ac:dyDescent="0.3">
      <c r="A27" s="43">
        <v>25</v>
      </c>
      <c r="B27" s="128"/>
      <c r="C27" s="78" t="s">
        <v>223</v>
      </c>
      <c r="D27" s="62" t="s">
        <v>117</v>
      </c>
      <c r="E27" s="55" t="s">
        <v>75</v>
      </c>
      <c r="F27" s="27" t="s">
        <v>224</v>
      </c>
      <c r="G27" s="8" t="s">
        <v>225</v>
      </c>
      <c r="H27" s="8" t="s">
        <v>204</v>
      </c>
      <c r="I27" s="55" t="s">
        <v>127</v>
      </c>
      <c r="J27" s="59">
        <v>1</v>
      </c>
      <c r="K27" s="9">
        <f t="shared" si="0"/>
        <v>10</v>
      </c>
      <c r="L27" s="9">
        <f t="shared" si="1"/>
        <v>500</v>
      </c>
      <c r="M27" s="9">
        <f t="shared" si="2"/>
        <v>1000</v>
      </c>
      <c r="N27" s="41" t="s">
        <v>18</v>
      </c>
      <c r="O27" s="20">
        <v>1.7000000000000001E-2</v>
      </c>
      <c r="P27" s="20">
        <f t="shared" si="3"/>
        <v>0.17</v>
      </c>
      <c r="Q27" s="20">
        <v>6.7999999999999996E-3</v>
      </c>
      <c r="R27" s="20">
        <f t="shared" si="4"/>
        <v>3.4</v>
      </c>
      <c r="S27" s="20">
        <v>6.7999999999999996E-3</v>
      </c>
      <c r="T27" s="20">
        <f t="shared" si="5"/>
        <v>6.8</v>
      </c>
      <c r="U27" s="12"/>
      <c r="V27" s="3"/>
      <c r="W27" s="3"/>
    </row>
    <row r="28" spans="1:23" ht="15.75" thickBot="1" x14ac:dyDescent="0.3">
      <c r="A28" s="43">
        <v>26</v>
      </c>
      <c r="B28" s="128"/>
      <c r="C28" s="77" t="s">
        <v>154</v>
      </c>
      <c r="D28" s="62" t="s">
        <v>26</v>
      </c>
      <c r="E28" s="55" t="s">
        <v>136</v>
      </c>
      <c r="F28" s="27" t="s">
        <v>141</v>
      </c>
      <c r="G28" s="8"/>
      <c r="H28" s="8"/>
      <c r="I28" s="55" t="s">
        <v>128</v>
      </c>
      <c r="J28" s="59">
        <v>1</v>
      </c>
      <c r="K28" s="9">
        <f t="shared" si="0"/>
        <v>10</v>
      </c>
      <c r="L28" s="9">
        <f t="shared" si="1"/>
        <v>500</v>
      </c>
      <c r="M28" s="9">
        <f t="shared" si="2"/>
        <v>1000</v>
      </c>
      <c r="N28" s="11"/>
      <c r="O28" s="20"/>
      <c r="P28" s="20">
        <f t="shared" si="3"/>
        <v>0</v>
      </c>
      <c r="Q28" s="20"/>
      <c r="R28" s="20">
        <f t="shared" si="4"/>
        <v>0</v>
      </c>
      <c r="S28" s="20"/>
      <c r="T28" s="20">
        <f t="shared" si="5"/>
        <v>0</v>
      </c>
      <c r="U28" s="12"/>
      <c r="V28" s="3"/>
      <c r="W28" s="3"/>
    </row>
    <row r="29" spans="1:23" ht="15.75" thickBot="1" x14ac:dyDescent="0.3">
      <c r="A29" s="43">
        <v>27</v>
      </c>
      <c r="B29" s="128"/>
      <c r="C29" s="77" t="s">
        <v>155</v>
      </c>
      <c r="D29" s="62" t="s">
        <v>27</v>
      </c>
      <c r="E29" s="55" t="s">
        <v>75</v>
      </c>
      <c r="F29" s="27" t="s">
        <v>142</v>
      </c>
      <c r="G29" s="8" t="s">
        <v>212</v>
      </c>
      <c r="H29" s="8" t="s">
        <v>204</v>
      </c>
      <c r="I29" s="55" t="s">
        <v>125</v>
      </c>
      <c r="J29" s="59">
        <v>1</v>
      </c>
      <c r="K29" s="9">
        <f t="shared" si="0"/>
        <v>10</v>
      </c>
      <c r="L29" s="9">
        <f t="shared" si="1"/>
        <v>500</v>
      </c>
      <c r="M29" s="9">
        <f t="shared" si="2"/>
        <v>1000</v>
      </c>
      <c r="N29" s="41" t="s">
        <v>18</v>
      </c>
      <c r="O29" s="20">
        <v>1.2E-2</v>
      </c>
      <c r="P29" s="20">
        <f t="shared" si="3"/>
        <v>0.12</v>
      </c>
      <c r="Q29" s="20">
        <v>4.7000000000000002E-3</v>
      </c>
      <c r="R29" s="20">
        <f t="shared" si="4"/>
        <v>2.35</v>
      </c>
      <c r="S29" s="20">
        <v>2.1299999999999999E-3</v>
      </c>
      <c r="T29" s="20">
        <f t="shared" si="5"/>
        <v>2.13</v>
      </c>
      <c r="U29" s="12"/>
      <c r="V29" s="3"/>
      <c r="W29" s="3"/>
    </row>
    <row r="30" spans="1:23" ht="15.75" thickBot="1" x14ac:dyDescent="0.3">
      <c r="A30" s="43">
        <v>28</v>
      </c>
      <c r="B30" s="128"/>
      <c r="C30" s="77" t="s">
        <v>156</v>
      </c>
      <c r="D30" s="62" t="s">
        <v>118</v>
      </c>
      <c r="E30" s="55" t="s">
        <v>75</v>
      </c>
      <c r="F30" s="27" t="s">
        <v>143</v>
      </c>
      <c r="G30" s="8"/>
      <c r="H30" s="8"/>
      <c r="I30" s="55" t="s">
        <v>129</v>
      </c>
      <c r="J30" s="59">
        <v>1</v>
      </c>
      <c r="K30" s="9">
        <f t="shared" si="0"/>
        <v>10</v>
      </c>
      <c r="L30" s="9">
        <f t="shared" si="1"/>
        <v>500</v>
      </c>
      <c r="M30" s="9">
        <f t="shared" si="2"/>
        <v>1000</v>
      </c>
      <c r="N30" s="11"/>
      <c r="O30" s="20"/>
      <c r="P30" s="20">
        <f t="shared" si="3"/>
        <v>0</v>
      </c>
      <c r="Q30" s="20"/>
      <c r="R30" s="20">
        <f t="shared" si="4"/>
        <v>0</v>
      </c>
      <c r="S30" s="20"/>
      <c r="T30" s="20">
        <f t="shared" si="5"/>
        <v>0</v>
      </c>
      <c r="U30" s="12"/>
      <c r="V30" s="3"/>
      <c r="W30" s="3"/>
    </row>
    <row r="31" spans="1:23" ht="15.75" thickBot="1" x14ac:dyDescent="0.3">
      <c r="A31" s="43">
        <v>29</v>
      </c>
      <c r="B31" s="128"/>
      <c r="C31" s="78" t="s">
        <v>229</v>
      </c>
      <c r="D31" s="62" t="s">
        <v>119</v>
      </c>
      <c r="E31" s="55" t="s">
        <v>75</v>
      </c>
      <c r="F31" s="27" t="s">
        <v>144</v>
      </c>
      <c r="G31" s="8" t="s">
        <v>212</v>
      </c>
      <c r="H31" s="8" t="s">
        <v>204</v>
      </c>
      <c r="I31" s="55" t="s">
        <v>130</v>
      </c>
      <c r="J31" s="59">
        <v>1</v>
      </c>
      <c r="K31" s="9">
        <f t="shared" si="0"/>
        <v>10</v>
      </c>
      <c r="L31" s="9">
        <f t="shared" si="1"/>
        <v>500</v>
      </c>
      <c r="M31" s="9">
        <f t="shared" si="2"/>
        <v>1000</v>
      </c>
      <c r="N31" s="41" t="s">
        <v>18</v>
      </c>
      <c r="O31" s="20">
        <v>1.2E-2</v>
      </c>
      <c r="P31" s="20">
        <f t="shared" si="3"/>
        <v>0.12</v>
      </c>
      <c r="Q31" s="20">
        <v>4.7000000000000002E-3</v>
      </c>
      <c r="R31" s="20">
        <f t="shared" si="4"/>
        <v>2.35</v>
      </c>
      <c r="S31" s="20">
        <v>2.1299999999999999E-3</v>
      </c>
      <c r="T31" s="20">
        <f t="shared" si="5"/>
        <v>2.13</v>
      </c>
      <c r="U31" s="106" t="s">
        <v>230</v>
      </c>
      <c r="V31" s="3"/>
      <c r="W31" s="3"/>
    </row>
    <row r="32" spans="1:23" ht="15.75" thickBot="1" x14ac:dyDescent="0.3">
      <c r="A32" s="43">
        <v>30</v>
      </c>
      <c r="B32" s="128"/>
      <c r="C32" s="77" t="s">
        <v>157</v>
      </c>
      <c r="D32" s="62" t="s">
        <v>120</v>
      </c>
      <c r="E32" s="55" t="s">
        <v>75</v>
      </c>
      <c r="F32" s="27" t="s">
        <v>145</v>
      </c>
      <c r="G32" s="8"/>
      <c r="H32" s="8"/>
      <c r="I32" s="55" t="s">
        <v>131</v>
      </c>
      <c r="J32" s="59">
        <v>1</v>
      </c>
      <c r="K32" s="9">
        <f t="shared" si="0"/>
        <v>10</v>
      </c>
      <c r="L32" s="9">
        <f t="shared" si="1"/>
        <v>500</v>
      </c>
      <c r="M32" s="9">
        <f t="shared" si="2"/>
        <v>1000</v>
      </c>
      <c r="N32" s="11"/>
      <c r="O32" s="20"/>
      <c r="P32" s="20">
        <f t="shared" si="3"/>
        <v>0</v>
      </c>
      <c r="Q32" s="20"/>
      <c r="R32" s="20">
        <f t="shared" si="4"/>
        <v>0</v>
      </c>
      <c r="S32" s="20"/>
      <c r="T32" s="20">
        <f t="shared" si="5"/>
        <v>0</v>
      </c>
      <c r="U32" s="12"/>
      <c r="V32" s="3"/>
      <c r="W32" s="3"/>
    </row>
    <row r="33" spans="1:23" ht="15.75" thickBot="1" x14ac:dyDescent="0.3">
      <c r="A33" s="43">
        <v>31</v>
      </c>
      <c r="B33" s="128"/>
      <c r="C33" s="78" t="s">
        <v>226</v>
      </c>
      <c r="D33" s="65" t="s">
        <v>188</v>
      </c>
      <c r="E33" s="55" t="s">
        <v>75</v>
      </c>
      <c r="F33" s="27" t="s">
        <v>146</v>
      </c>
      <c r="G33" s="8" t="s">
        <v>227</v>
      </c>
      <c r="H33" s="8" t="s">
        <v>204</v>
      </c>
      <c r="I33" s="55" t="s">
        <v>28</v>
      </c>
      <c r="J33" s="59">
        <v>6</v>
      </c>
      <c r="K33" s="9">
        <f t="shared" si="0"/>
        <v>60</v>
      </c>
      <c r="L33" s="9">
        <f t="shared" si="1"/>
        <v>3000</v>
      </c>
      <c r="M33" s="9">
        <f t="shared" si="2"/>
        <v>6000</v>
      </c>
      <c r="N33" s="41" t="s">
        <v>18</v>
      </c>
      <c r="O33" s="20">
        <v>1.7999999999999999E-2</v>
      </c>
      <c r="P33" s="20">
        <f t="shared" si="3"/>
        <v>1.0799999999999998</v>
      </c>
      <c r="Q33" s="20">
        <v>2.8600000000000001E-3</v>
      </c>
      <c r="R33" s="20">
        <f t="shared" si="4"/>
        <v>8.58</v>
      </c>
      <c r="S33" s="20">
        <v>2.5149999999999999E-3</v>
      </c>
      <c r="T33" s="20">
        <f t="shared" si="5"/>
        <v>15.09</v>
      </c>
      <c r="U33" s="106" t="s">
        <v>228</v>
      </c>
      <c r="V33" s="3"/>
      <c r="W33" s="3"/>
    </row>
    <row r="34" spans="1:23" ht="15.75" thickBot="1" x14ac:dyDescent="0.3">
      <c r="A34" s="43">
        <v>32</v>
      </c>
      <c r="B34" s="128"/>
      <c r="C34" s="78" t="s">
        <v>231</v>
      </c>
      <c r="D34" s="62" t="s">
        <v>121</v>
      </c>
      <c r="E34" s="55" t="s">
        <v>75</v>
      </c>
      <c r="F34" s="27" t="s">
        <v>147</v>
      </c>
      <c r="G34" s="8" t="s">
        <v>208</v>
      </c>
      <c r="H34" s="8" t="s">
        <v>204</v>
      </c>
      <c r="I34" s="55" t="s">
        <v>132</v>
      </c>
      <c r="J34" s="59">
        <v>1</v>
      </c>
      <c r="K34" s="9">
        <f t="shared" si="0"/>
        <v>10</v>
      </c>
      <c r="L34" s="9">
        <f t="shared" si="1"/>
        <v>500</v>
      </c>
      <c r="M34" s="9">
        <f t="shared" si="2"/>
        <v>1000</v>
      </c>
      <c r="N34" s="41" t="s">
        <v>18</v>
      </c>
      <c r="O34" s="20">
        <v>2.4E-2</v>
      </c>
      <c r="P34" s="20">
        <f t="shared" si="3"/>
        <v>0.24</v>
      </c>
      <c r="Q34" s="20">
        <v>9.7000000000000003E-3</v>
      </c>
      <c r="R34" s="20">
        <f t="shared" si="4"/>
        <v>4.8500000000000005</v>
      </c>
      <c r="S34" s="20">
        <v>4.3600000000000002E-3</v>
      </c>
      <c r="T34" s="20">
        <f t="shared" si="5"/>
        <v>4.3600000000000003</v>
      </c>
      <c r="U34" s="106" t="s">
        <v>232</v>
      </c>
      <c r="V34" s="3"/>
      <c r="W34" s="3"/>
    </row>
    <row r="35" spans="1:23" ht="15.75" thickBot="1" x14ac:dyDescent="0.3">
      <c r="A35" s="43">
        <v>33</v>
      </c>
      <c r="B35" s="128"/>
      <c r="C35" s="77" t="s">
        <v>158</v>
      </c>
      <c r="D35" s="62" t="s">
        <v>122</v>
      </c>
      <c r="E35" s="55" t="s">
        <v>75</v>
      </c>
      <c r="F35" s="27" t="s">
        <v>148</v>
      </c>
      <c r="G35" s="8"/>
      <c r="H35" s="8"/>
      <c r="I35" s="55" t="s">
        <v>133</v>
      </c>
      <c r="J35" s="59">
        <v>3</v>
      </c>
      <c r="K35" s="9">
        <f t="shared" si="0"/>
        <v>30</v>
      </c>
      <c r="L35" s="9">
        <f t="shared" si="1"/>
        <v>1500</v>
      </c>
      <c r="M35" s="9">
        <f t="shared" si="2"/>
        <v>3000</v>
      </c>
      <c r="N35" s="11"/>
      <c r="O35" s="20"/>
      <c r="P35" s="20">
        <f t="shared" si="3"/>
        <v>0</v>
      </c>
      <c r="Q35" s="20"/>
      <c r="R35" s="20">
        <f t="shared" si="4"/>
        <v>0</v>
      </c>
      <c r="S35" s="20"/>
      <c r="T35" s="20">
        <f t="shared" si="5"/>
        <v>0</v>
      </c>
      <c r="U35" s="12"/>
      <c r="V35" s="3"/>
      <c r="W35" s="3"/>
    </row>
    <row r="36" spans="1:23" ht="15.75" thickBot="1" x14ac:dyDescent="0.3">
      <c r="A36" s="43">
        <v>34</v>
      </c>
      <c r="B36" s="128"/>
      <c r="C36" s="77" t="s">
        <v>159</v>
      </c>
      <c r="D36" s="62" t="s">
        <v>123</v>
      </c>
      <c r="E36" s="55" t="s">
        <v>136</v>
      </c>
      <c r="F36" s="27" t="s">
        <v>149</v>
      </c>
      <c r="G36" s="8"/>
      <c r="H36" s="8"/>
      <c r="I36" s="55" t="s">
        <v>134</v>
      </c>
      <c r="J36" s="59">
        <v>4</v>
      </c>
      <c r="K36" s="9">
        <f t="shared" si="0"/>
        <v>40</v>
      </c>
      <c r="L36" s="9">
        <f t="shared" si="1"/>
        <v>2000</v>
      </c>
      <c r="M36" s="9">
        <f t="shared" si="2"/>
        <v>4000</v>
      </c>
      <c r="N36" s="11"/>
      <c r="O36" s="20"/>
      <c r="P36" s="20">
        <f t="shared" si="3"/>
        <v>0</v>
      </c>
      <c r="Q36" s="20"/>
      <c r="R36" s="20">
        <f t="shared" si="4"/>
        <v>0</v>
      </c>
      <c r="S36" s="20"/>
      <c r="T36" s="20">
        <f t="shared" si="5"/>
        <v>0</v>
      </c>
      <c r="U36" s="12"/>
      <c r="V36" s="3"/>
      <c r="W36" s="3"/>
    </row>
    <row r="37" spans="1:23" ht="15.75" thickBot="1" x14ac:dyDescent="0.3">
      <c r="A37" s="43">
        <v>35</v>
      </c>
      <c r="B37" s="129"/>
      <c r="C37" s="107" t="s">
        <v>234</v>
      </c>
      <c r="D37" s="108" t="s">
        <v>189</v>
      </c>
      <c r="E37" s="71" t="s">
        <v>136</v>
      </c>
      <c r="F37" s="29" t="s">
        <v>233</v>
      </c>
      <c r="G37" s="13" t="s">
        <v>208</v>
      </c>
      <c r="H37" s="13" t="s">
        <v>204</v>
      </c>
      <c r="I37" s="71" t="s">
        <v>193</v>
      </c>
      <c r="J37" s="73">
        <v>1</v>
      </c>
      <c r="K37" s="14">
        <f t="shared" si="0"/>
        <v>10</v>
      </c>
      <c r="L37" s="14">
        <f t="shared" si="1"/>
        <v>500</v>
      </c>
      <c r="M37" s="14">
        <f t="shared" si="2"/>
        <v>1000</v>
      </c>
      <c r="N37" s="90" t="s">
        <v>18</v>
      </c>
      <c r="O37" s="21">
        <v>0.5</v>
      </c>
      <c r="P37" s="21">
        <f t="shared" si="3"/>
        <v>5</v>
      </c>
      <c r="Q37" s="21">
        <v>0.21</v>
      </c>
      <c r="R37" s="21">
        <f t="shared" si="4"/>
        <v>105</v>
      </c>
      <c r="S37" s="21">
        <v>0.11584999999999999</v>
      </c>
      <c r="T37" s="21">
        <f t="shared" si="5"/>
        <v>115.85</v>
      </c>
      <c r="U37" s="17"/>
      <c r="V37" s="3"/>
      <c r="W37" s="3"/>
    </row>
    <row r="38" spans="1:23" ht="15.75" thickBot="1" x14ac:dyDescent="0.3">
      <c r="A38" s="43">
        <v>36</v>
      </c>
      <c r="B38" s="127" t="s">
        <v>252</v>
      </c>
      <c r="C38" s="80" t="s">
        <v>166</v>
      </c>
      <c r="D38" s="67" t="s">
        <v>160</v>
      </c>
      <c r="E38" s="67" t="s">
        <v>162</v>
      </c>
      <c r="F38" s="26" t="s">
        <v>164</v>
      </c>
      <c r="G38" s="1"/>
      <c r="H38" s="1"/>
      <c r="I38" s="1"/>
      <c r="J38" s="5">
        <v>1</v>
      </c>
      <c r="K38" s="4">
        <f t="shared" si="0"/>
        <v>10</v>
      </c>
      <c r="L38" s="4">
        <f t="shared" si="1"/>
        <v>500</v>
      </c>
      <c r="M38" s="4">
        <f t="shared" si="2"/>
        <v>1000</v>
      </c>
      <c r="N38" s="6"/>
      <c r="O38" s="19"/>
      <c r="P38" s="19">
        <f t="shared" si="3"/>
        <v>0</v>
      </c>
      <c r="Q38" s="19"/>
      <c r="R38" s="19">
        <f t="shared" si="4"/>
        <v>0</v>
      </c>
      <c r="S38" s="19"/>
      <c r="T38" s="19">
        <f t="shared" si="5"/>
        <v>0</v>
      </c>
      <c r="U38" s="7"/>
      <c r="V38" s="3"/>
      <c r="W38" s="3"/>
    </row>
    <row r="39" spans="1:23" ht="15.75" thickBot="1" x14ac:dyDescent="0.3">
      <c r="A39" s="43">
        <v>37</v>
      </c>
      <c r="B39" s="129"/>
      <c r="C39" s="82" t="s">
        <v>167</v>
      </c>
      <c r="D39" s="71" t="s">
        <v>161</v>
      </c>
      <c r="E39" s="71" t="s">
        <v>163</v>
      </c>
      <c r="F39" s="29" t="s">
        <v>165</v>
      </c>
      <c r="G39" s="13"/>
      <c r="H39" s="13"/>
      <c r="I39" s="13"/>
      <c r="J39" s="15">
        <v>1</v>
      </c>
      <c r="K39" s="14">
        <f t="shared" si="0"/>
        <v>10</v>
      </c>
      <c r="L39" s="14">
        <f t="shared" si="1"/>
        <v>500</v>
      </c>
      <c r="M39" s="14">
        <f t="shared" si="2"/>
        <v>1000</v>
      </c>
      <c r="N39" s="90"/>
      <c r="O39" s="21"/>
      <c r="P39" s="21">
        <f t="shared" si="3"/>
        <v>0</v>
      </c>
      <c r="Q39" s="21"/>
      <c r="R39" s="21">
        <f t="shared" si="4"/>
        <v>0</v>
      </c>
      <c r="S39" s="21"/>
      <c r="T39" s="21">
        <f t="shared" si="5"/>
        <v>0</v>
      </c>
      <c r="U39" s="17"/>
      <c r="V39" s="3"/>
      <c r="W39" s="3"/>
    </row>
    <row r="40" spans="1:23" ht="15.75" thickBot="1" x14ac:dyDescent="0.3">
      <c r="A40" s="43">
        <v>38</v>
      </c>
      <c r="B40" s="47" t="s">
        <v>253</v>
      </c>
      <c r="C40" s="126" t="s">
        <v>260</v>
      </c>
      <c r="D40" s="85" t="s">
        <v>168</v>
      </c>
      <c r="E40" s="85" t="s">
        <v>170</v>
      </c>
      <c r="F40" s="85" t="s">
        <v>171</v>
      </c>
      <c r="G40" s="86" t="s">
        <v>235</v>
      </c>
      <c r="H40" s="86" t="s">
        <v>204</v>
      </c>
      <c r="I40" s="116" t="s">
        <v>169</v>
      </c>
      <c r="J40" s="87">
        <v>1</v>
      </c>
      <c r="K40" s="88">
        <f t="shared" si="0"/>
        <v>10</v>
      </c>
      <c r="L40" s="88">
        <f t="shared" si="1"/>
        <v>500</v>
      </c>
      <c r="M40" s="88">
        <f t="shared" si="2"/>
        <v>1000</v>
      </c>
      <c r="N40" s="105" t="s">
        <v>18</v>
      </c>
      <c r="O40" s="89">
        <v>0.754</v>
      </c>
      <c r="P40" s="89">
        <f t="shared" si="3"/>
        <v>7.54</v>
      </c>
      <c r="Q40" s="89">
        <v>0.62319999999999998</v>
      </c>
      <c r="R40" s="89">
        <f t="shared" si="4"/>
        <v>311.59999999999997</v>
      </c>
      <c r="S40" s="89">
        <v>0.62319999999999998</v>
      </c>
      <c r="T40" s="89">
        <f t="shared" si="5"/>
        <v>623.19999999999993</v>
      </c>
      <c r="U40" s="124"/>
      <c r="V40" s="3"/>
      <c r="W40" s="3"/>
    </row>
    <row r="41" spans="1:23" ht="15.75" thickBot="1" x14ac:dyDescent="0.3">
      <c r="A41" s="43">
        <v>39</v>
      </c>
      <c r="B41" s="127" t="s">
        <v>254</v>
      </c>
      <c r="C41" s="80" t="s">
        <v>184</v>
      </c>
      <c r="D41" s="109" t="s">
        <v>34</v>
      </c>
      <c r="E41" s="109" t="s">
        <v>173</v>
      </c>
      <c r="F41" s="110" t="s">
        <v>174</v>
      </c>
      <c r="G41" s="1"/>
      <c r="H41" s="1"/>
      <c r="I41" s="1"/>
      <c r="J41" s="111">
        <v>1</v>
      </c>
      <c r="K41" s="4">
        <f t="shared" si="0"/>
        <v>10</v>
      </c>
      <c r="L41" s="4">
        <f t="shared" si="1"/>
        <v>500</v>
      </c>
      <c r="M41" s="4">
        <f t="shared" si="2"/>
        <v>1000</v>
      </c>
      <c r="N41" s="6"/>
      <c r="O41" s="19"/>
      <c r="P41" s="19">
        <f t="shared" si="3"/>
        <v>0</v>
      </c>
      <c r="Q41" s="19"/>
      <c r="R41" s="19">
        <f t="shared" si="4"/>
        <v>0</v>
      </c>
      <c r="S41" s="19"/>
      <c r="T41" s="19">
        <f t="shared" si="5"/>
        <v>0</v>
      </c>
      <c r="U41" s="38"/>
      <c r="V41" s="3"/>
      <c r="W41" s="3"/>
    </row>
    <row r="42" spans="1:23" ht="15.75" thickBot="1" x14ac:dyDescent="0.3">
      <c r="A42" s="43">
        <v>40</v>
      </c>
      <c r="B42" s="128"/>
      <c r="C42" s="77" t="s">
        <v>185</v>
      </c>
      <c r="D42" s="52" t="s">
        <v>35</v>
      </c>
      <c r="E42" s="52" t="s">
        <v>175</v>
      </c>
      <c r="F42" s="60" t="s">
        <v>176</v>
      </c>
      <c r="G42" s="36"/>
      <c r="H42" s="8"/>
      <c r="I42" s="8"/>
      <c r="J42" s="57">
        <v>1</v>
      </c>
      <c r="K42" s="9">
        <f t="shared" si="0"/>
        <v>10</v>
      </c>
      <c r="L42" s="9">
        <f t="shared" si="1"/>
        <v>500</v>
      </c>
      <c r="M42" s="9">
        <f t="shared" si="2"/>
        <v>1000</v>
      </c>
      <c r="N42" s="11"/>
      <c r="O42" s="20"/>
      <c r="P42" s="20">
        <f t="shared" si="3"/>
        <v>0</v>
      </c>
      <c r="Q42" s="20"/>
      <c r="R42" s="20">
        <f t="shared" si="4"/>
        <v>0</v>
      </c>
      <c r="S42" s="20"/>
      <c r="T42" s="20">
        <f t="shared" si="5"/>
        <v>0</v>
      </c>
      <c r="U42" s="12"/>
      <c r="V42" s="3"/>
      <c r="W42" s="3"/>
    </row>
    <row r="43" spans="1:23" ht="15.75" thickBot="1" x14ac:dyDescent="0.3">
      <c r="A43" s="43">
        <v>41</v>
      </c>
      <c r="B43" s="128"/>
      <c r="C43" s="77" t="s">
        <v>186</v>
      </c>
      <c r="D43" s="52" t="s">
        <v>36</v>
      </c>
      <c r="E43" s="52" t="s">
        <v>177</v>
      </c>
      <c r="F43" s="60" t="s">
        <v>178</v>
      </c>
      <c r="G43" s="36"/>
      <c r="H43" s="8"/>
      <c r="I43" s="8"/>
      <c r="J43" s="57">
        <v>1</v>
      </c>
      <c r="K43" s="9">
        <f t="shared" si="0"/>
        <v>10</v>
      </c>
      <c r="L43" s="9">
        <f t="shared" si="1"/>
        <v>500</v>
      </c>
      <c r="M43" s="9">
        <f t="shared" si="2"/>
        <v>1000</v>
      </c>
      <c r="N43" s="11"/>
      <c r="O43" s="20"/>
      <c r="P43" s="20">
        <f t="shared" si="3"/>
        <v>0</v>
      </c>
      <c r="Q43" s="20"/>
      <c r="R43" s="20">
        <f t="shared" si="4"/>
        <v>0</v>
      </c>
      <c r="S43" s="20"/>
      <c r="T43" s="20">
        <f t="shared" si="5"/>
        <v>0</v>
      </c>
      <c r="U43" s="40"/>
      <c r="V43" s="3"/>
      <c r="W43" s="3"/>
    </row>
    <row r="44" spans="1:23" ht="15.75" thickBot="1" x14ac:dyDescent="0.3">
      <c r="A44" s="43">
        <v>42</v>
      </c>
      <c r="B44" s="128"/>
      <c r="C44" s="78" t="s">
        <v>236</v>
      </c>
      <c r="D44" s="52" t="s">
        <v>37</v>
      </c>
      <c r="E44" s="52" t="s">
        <v>173</v>
      </c>
      <c r="F44" s="60" t="s">
        <v>179</v>
      </c>
      <c r="G44" s="8" t="s">
        <v>237</v>
      </c>
      <c r="H44" s="8" t="s">
        <v>204</v>
      </c>
      <c r="I44" s="8" t="s">
        <v>204</v>
      </c>
      <c r="J44" s="57">
        <v>1</v>
      </c>
      <c r="K44" s="9">
        <f t="shared" si="0"/>
        <v>10</v>
      </c>
      <c r="L44" s="9">
        <f t="shared" si="1"/>
        <v>500</v>
      </c>
      <c r="M44" s="9">
        <f t="shared" si="2"/>
        <v>1000</v>
      </c>
      <c r="N44" s="41" t="s">
        <v>18</v>
      </c>
      <c r="O44" s="20">
        <v>0.437</v>
      </c>
      <c r="P44" s="20">
        <f t="shared" si="3"/>
        <v>4.37</v>
      </c>
      <c r="Q44" s="20">
        <v>0.25652000000000003</v>
      </c>
      <c r="R44" s="20">
        <f t="shared" si="4"/>
        <v>128.26000000000002</v>
      </c>
      <c r="S44" s="20">
        <v>0.19822000000000001</v>
      </c>
      <c r="T44" s="20">
        <f t="shared" si="5"/>
        <v>198.22</v>
      </c>
      <c r="U44" s="12"/>
      <c r="V44" s="3"/>
      <c r="W44" s="3"/>
    </row>
    <row r="45" spans="1:23" ht="15.75" thickBot="1" x14ac:dyDescent="0.3">
      <c r="A45" s="43">
        <v>43</v>
      </c>
      <c r="B45" s="128"/>
      <c r="C45" s="78" t="s">
        <v>238</v>
      </c>
      <c r="D45" s="52" t="s">
        <v>172</v>
      </c>
      <c r="E45" s="52" t="s">
        <v>180</v>
      </c>
      <c r="F45" s="60" t="s">
        <v>181</v>
      </c>
      <c r="G45" s="36" t="s">
        <v>237</v>
      </c>
      <c r="H45" s="8" t="s">
        <v>204</v>
      </c>
      <c r="I45" s="8" t="s">
        <v>204</v>
      </c>
      <c r="J45" s="57">
        <v>1</v>
      </c>
      <c r="K45" s="9">
        <f t="shared" si="0"/>
        <v>10</v>
      </c>
      <c r="L45" s="9">
        <f t="shared" si="1"/>
        <v>500</v>
      </c>
      <c r="M45" s="9">
        <f t="shared" si="2"/>
        <v>1000</v>
      </c>
      <c r="N45" s="41" t="s">
        <v>18</v>
      </c>
      <c r="O45" s="20">
        <v>2.121</v>
      </c>
      <c r="P45" s="20">
        <f t="shared" si="3"/>
        <v>21.21</v>
      </c>
      <c r="Q45" s="20">
        <v>1.40052</v>
      </c>
      <c r="R45" s="20">
        <f t="shared" si="4"/>
        <v>700.26</v>
      </c>
      <c r="S45" s="20">
        <v>1.32125</v>
      </c>
      <c r="T45" s="20">
        <f t="shared" si="5"/>
        <v>1321.25</v>
      </c>
      <c r="U45" s="106" t="s">
        <v>239</v>
      </c>
      <c r="V45" s="3"/>
      <c r="W45" s="3"/>
    </row>
    <row r="46" spans="1:23" ht="15.75" thickBot="1" x14ac:dyDescent="0.3">
      <c r="A46" s="43">
        <v>44</v>
      </c>
      <c r="B46" s="128"/>
      <c r="C46" s="77" t="s">
        <v>187</v>
      </c>
      <c r="D46" s="52" t="s">
        <v>8</v>
      </c>
      <c r="E46" s="52" t="s">
        <v>182</v>
      </c>
      <c r="F46" s="60" t="s">
        <v>183</v>
      </c>
      <c r="G46" s="36" t="s">
        <v>240</v>
      </c>
      <c r="H46" s="8" t="s">
        <v>204</v>
      </c>
      <c r="I46" s="8" t="s">
        <v>204</v>
      </c>
      <c r="J46" s="57">
        <v>1</v>
      </c>
      <c r="K46" s="9">
        <f t="shared" si="0"/>
        <v>10</v>
      </c>
      <c r="L46" s="9">
        <f t="shared" si="1"/>
        <v>500</v>
      </c>
      <c r="M46" s="9">
        <f t="shared" si="2"/>
        <v>1000</v>
      </c>
      <c r="N46" s="41" t="s">
        <v>18</v>
      </c>
      <c r="O46" s="20">
        <v>2.6</v>
      </c>
      <c r="P46" s="20">
        <f t="shared" si="3"/>
        <v>26</v>
      </c>
      <c r="Q46" s="20">
        <v>2.1505000000000001</v>
      </c>
      <c r="R46" s="20">
        <f t="shared" si="4"/>
        <v>1075.25</v>
      </c>
      <c r="S46" s="20">
        <v>2.1505000000000001</v>
      </c>
      <c r="T46" s="20">
        <f t="shared" si="5"/>
        <v>2150.5</v>
      </c>
      <c r="U46" s="106" t="s">
        <v>241</v>
      </c>
      <c r="V46" s="3"/>
      <c r="W46" s="3"/>
    </row>
    <row r="47" spans="1:23" ht="15.75" thickBot="1" x14ac:dyDescent="0.3">
      <c r="A47" s="43">
        <v>45</v>
      </c>
      <c r="B47" s="128"/>
      <c r="C47" s="79" t="s">
        <v>242</v>
      </c>
      <c r="D47" s="28" t="s">
        <v>38</v>
      </c>
      <c r="E47" s="53" t="s">
        <v>243</v>
      </c>
      <c r="F47" s="28" t="s">
        <v>192</v>
      </c>
      <c r="G47" s="8" t="s">
        <v>237</v>
      </c>
      <c r="H47" s="8" t="s">
        <v>204</v>
      </c>
      <c r="I47" s="8" t="s">
        <v>204</v>
      </c>
      <c r="J47" s="10">
        <v>1</v>
      </c>
      <c r="K47" s="9">
        <f t="shared" si="0"/>
        <v>10</v>
      </c>
      <c r="L47" s="9">
        <f t="shared" si="1"/>
        <v>500</v>
      </c>
      <c r="M47" s="9">
        <f t="shared" si="2"/>
        <v>1000</v>
      </c>
      <c r="N47" s="51" t="s">
        <v>18</v>
      </c>
      <c r="O47" s="37">
        <v>2.4470000000000001</v>
      </c>
      <c r="P47" s="20">
        <f t="shared" si="3"/>
        <v>24.47</v>
      </c>
      <c r="Q47" s="37">
        <v>1.6156999999999999</v>
      </c>
      <c r="R47" s="20">
        <f t="shared" si="4"/>
        <v>807.84999999999991</v>
      </c>
      <c r="S47" s="20">
        <v>1.5242500000000001</v>
      </c>
      <c r="T47" s="20">
        <f t="shared" si="5"/>
        <v>1524.25</v>
      </c>
      <c r="U47" s="12"/>
      <c r="V47" s="3"/>
      <c r="W47" s="3"/>
    </row>
    <row r="48" spans="1:23" ht="15.75" thickBot="1" x14ac:dyDescent="0.3">
      <c r="A48" s="43">
        <v>46</v>
      </c>
      <c r="B48" s="129"/>
      <c r="C48" s="112" t="s">
        <v>244</v>
      </c>
      <c r="D48" s="35" t="s">
        <v>41</v>
      </c>
      <c r="E48" s="113" t="s">
        <v>245</v>
      </c>
      <c r="F48" s="35" t="s">
        <v>191</v>
      </c>
      <c r="G48" s="35" t="s">
        <v>240</v>
      </c>
      <c r="H48" s="35" t="s">
        <v>204</v>
      </c>
      <c r="I48" s="13" t="s">
        <v>204</v>
      </c>
      <c r="J48" s="15">
        <v>1</v>
      </c>
      <c r="K48" s="14">
        <f t="shared" si="0"/>
        <v>10</v>
      </c>
      <c r="L48" s="14">
        <f t="shared" si="1"/>
        <v>500</v>
      </c>
      <c r="M48" s="14">
        <f t="shared" si="2"/>
        <v>1000</v>
      </c>
      <c r="N48" s="114" t="s">
        <v>18</v>
      </c>
      <c r="O48" s="21">
        <v>0.48</v>
      </c>
      <c r="P48" s="21">
        <f t="shared" si="3"/>
        <v>4.8</v>
      </c>
      <c r="Q48" s="21">
        <v>0.36</v>
      </c>
      <c r="R48" s="21">
        <f t="shared" si="4"/>
        <v>180</v>
      </c>
      <c r="S48" s="21">
        <v>0.36</v>
      </c>
      <c r="T48" s="21">
        <f t="shared" si="5"/>
        <v>360</v>
      </c>
      <c r="U48" s="115" t="s">
        <v>246</v>
      </c>
      <c r="V48" s="3"/>
      <c r="W48" s="3"/>
    </row>
    <row r="49" spans="1:23" ht="15.75" thickBot="1" x14ac:dyDescent="0.3">
      <c r="A49" s="43">
        <v>47</v>
      </c>
      <c r="B49" s="127" t="s">
        <v>255</v>
      </c>
      <c r="C49" s="117" t="s">
        <v>247</v>
      </c>
      <c r="D49" s="109" t="s">
        <v>5</v>
      </c>
      <c r="E49" s="110" t="s">
        <v>163</v>
      </c>
      <c r="F49" s="110" t="s">
        <v>196</v>
      </c>
      <c r="G49" s="34" t="s">
        <v>248</v>
      </c>
      <c r="H49" s="34" t="s">
        <v>204</v>
      </c>
      <c r="I49" s="1" t="s">
        <v>204</v>
      </c>
      <c r="J49" s="118">
        <v>1</v>
      </c>
      <c r="K49" s="4">
        <f t="shared" si="0"/>
        <v>10</v>
      </c>
      <c r="L49" s="4">
        <f t="shared" si="1"/>
        <v>500</v>
      </c>
      <c r="M49" s="4">
        <f t="shared" si="2"/>
        <v>1000</v>
      </c>
      <c r="N49" s="119" t="s">
        <v>18</v>
      </c>
      <c r="O49" s="19">
        <v>0.90800000000000003</v>
      </c>
      <c r="P49" s="19">
        <f t="shared" si="3"/>
        <v>9.08</v>
      </c>
      <c r="Q49" s="19">
        <v>0.64800000000000002</v>
      </c>
      <c r="R49" s="19">
        <f t="shared" si="4"/>
        <v>324</v>
      </c>
      <c r="S49" s="19">
        <v>0.55100000000000005</v>
      </c>
      <c r="T49" s="19">
        <f t="shared" si="5"/>
        <v>551</v>
      </c>
      <c r="U49" s="120"/>
      <c r="V49" s="3"/>
      <c r="W49" s="3"/>
    </row>
    <row r="50" spans="1:23" ht="15.75" thickBot="1" x14ac:dyDescent="0.3">
      <c r="A50" s="43">
        <v>48</v>
      </c>
      <c r="B50" s="128"/>
      <c r="C50" s="77" t="s">
        <v>201</v>
      </c>
      <c r="D50" s="52" t="s">
        <v>194</v>
      </c>
      <c r="E50" s="60" t="s">
        <v>163</v>
      </c>
      <c r="F50" s="60" t="s">
        <v>197</v>
      </c>
      <c r="G50" s="8"/>
      <c r="H50" s="27"/>
      <c r="I50" s="8"/>
      <c r="J50" s="61">
        <v>1</v>
      </c>
      <c r="K50" s="9">
        <f t="shared" si="0"/>
        <v>10</v>
      </c>
      <c r="L50" s="9">
        <f t="shared" si="1"/>
        <v>500</v>
      </c>
      <c r="M50" s="9">
        <f t="shared" si="2"/>
        <v>1000</v>
      </c>
      <c r="N50" s="18"/>
      <c r="O50" s="20"/>
      <c r="P50" s="20">
        <f t="shared" si="3"/>
        <v>0</v>
      </c>
      <c r="Q50" s="20"/>
      <c r="R50" s="20">
        <f t="shared" si="4"/>
        <v>0</v>
      </c>
      <c r="S50" s="20"/>
      <c r="T50" s="20">
        <f t="shared" si="5"/>
        <v>0</v>
      </c>
      <c r="U50" s="12"/>
      <c r="V50" s="3"/>
      <c r="W50" s="3"/>
    </row>
    <row r="51" spans="1:23" ht="15.75" thickBot="1" x14ac:dyDescent="0.3">
      <c r="A51" s="43">
        <v>49</v>
      </c>
      <c r="B51" s="128"/>
      <c r="C51" s="78" t="s">
        <v>249</v>
      </c>
      <c r="D51" s="52" t="s">
        <v>195</v>
      </c>
      <c r="E51" s="60" t="s">
        <v>163</v>
      </c>
      <c r="F51" s="60" t="s">
        <v>198</v>
      </c>
      <c r="G51" s="8" t="s">
        <v>250</v>
      </c>
      <c r="H51" s="27" t="s">
        <v>204</v>
      </c>
      <c r="I51" s="8" t="s">
        <v>204</v>
      </c>
      <c r="J51" s="61">
        <v>2</v>
      </c>
      <c r="K51" s="9">
        <f t="shared" si="0"/>
        <v>20</v>
      </c>
      <c r="L51" s="9">
        <f t="shared" si="1"/>
        <v>1000</v>
      </c>
      <c r="M51" s="9">
        <f t="shared" si="2"/>
        <v>2000</v>
      </c>
      <c r="N51" s="51" t="s">
        <v>18</v>
      </c>
      <c r="O51" s="20">
        <v>1.5169999999999999</v>
      </c>
      <c r="P51" s="20">
        <f t="shared" si="3"/>
        <v>30.339999999999996</v>
      </c>
      <c r="Q51" s="20">
        <v>1.12978</v>
      </c>
      <c r="R51" s="20">
        <f t="shared" si="4"/>
        <v>1129.78</v>
      </c>
      <c r="S51" s="20">
        <v>0.96838000000000002</v>
      </c>
      <c r="T51" s="20">
        <f t="shared" si="5"/>
        <v>1936.76</v>
      </c>
      <c r="U51" s="12"/>
      <c r="V51" s="3"/>
      <c r="W51" s="3"/>
    </row>
    <row r="52" spans="1:23" ht="15.75" thickBot="1" x14ac:dyDescent="0.3">
      <c r="A52" s="44">
        <v>50</v>
      </c>
      <c r="B52" s="129"/>
      <c r="C52" s="82" t="s">
        <v>202</v>
      </c>
      <c r="D52" s="121" t="s">
        <v>6</v>
      </c>
      <c r="E52" s="122" t="s">
        <v>199</v>
      </c>
      <c r="F52" s="122" t="s">
        <v>200</v>
      </c>
      <c r="G52" s="13"/>
      <c r="H52" s="29"/>
      <c r="I52" s="13"/>
      <c r="J52" s="123">
        <v>1</v>
      </c>
      <c r="K52" s="14">
        <f t="shared" si="0"/>
        <v>10</v>
      </c>
      <c r="L52" s="14">
        <f t="shared" si="1"/>
        <v>500</v>
      </c>
      <c r="M52" s="14">
        <f t="shared" si="2"/>
        <v>1000</v>
      </c>
      <c r="N52" s="42"/>
      <c r="O52" s="21"/>
      <c r="P52" s="21">
        <f t="shared" si="3"/>
        <v>0</v>
      </c>
      <c r="Q52" s="21"/>
      <c r="R52" s="21">
        <f t="shared" si="4"/>
        <v>0</v>
      </c>
      <c r="S52" s="21"/>
      <c r="T52" s="21">
        <f t="shared" si="5"/>
        <v>0</v>
      </c>
      <c r="U52" s="17"/>
      <c r="V52" s="3"/>
      <c r="W52" s="3"/>
    </row>
    <row r="53" spans="1:23" ht="19.5" thickBot="1" x14ac:dyDescent="0.35">
      <c r="K53" s="130" t="s">
        <v>19</v>
      </c>
      <c r="L53" s="130"/>
      <c r="M53" s="130"/>
      <c r="N53" s="130"/>
      <c r="O53" s="130"/>
      <c r="P53" s="130"/>
      <c r="Q53" s="22"/>
      <c r="R53" s="45">
        <f>SUM(R3:R52)</f>
        <v>10673.920000000002</v>
      </c>
      <c r="S53" s="23"/>
      <c r="T53" s="45">
        <f>SUM(T3:T52)</f>
        <v>20241.759999999998</v>
      </c>
      <c r="V53" s="3"/>
      <c r="W53" s="3"/>
    </row>
    <row r="54" spans="1:23" ht="18.75" x14ac:dyDescent="0.3">
      <c r="K54" s="131" t="s">
        <v>20</v>
      </c>
      <c r="L54" s="131"/>
      <c r="M54" s="131"/>
      <c r="N54" s="131"/>
      <c r="O54" s="131"/>
      <c r="P54" s="131"/>
      <c r="Q54" s="23">
        <f ca="1">SUM(Q19:Q57)</f>
        <v>198.42500000000001</v>
      </c>
      <c r="R54" s="24">
        <f>R53/5</f>
        <v>2134.7840000000006</v>
      </c>
      <c r="S54" s="24"/>
      <c r="T54" s="24"/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ht="15.75" customHeight="1" x14ac:dyDescent="0.25">
      <c r="V60" s="3"/>
      <c r="W60" s="3"/>
    </row>
    <row r="61" spans="1:23" x14ac:dyDescent="0.25">
      <c r="V61" s="3"/>
      <c r="W61" s="3"/>
    </row>
    <row r="62" spans="1:23" x14ac:dyDescent="0.25">
      <c r="V62" s="3"/>
      <c r="W62" s="3"/>
    </row>
  </sheetData>
  <mergeCells count="11">
    <mergeCell ref="B49:B52"/>
    <mergeCell ref="K53:P53"/>
    <mergeCell ref="K54:P54"/>
    <mergeCell ref="A1:U1"/>
    <mergeCell ref="B3:B12"/>
    <mergeCell ref="B13:B15"/>
    <mergeCell ref="B17:B19"/>
    <mergeCell ref="B20:B21"/>
    <mergeCell ref="B23:B37"/>
    <mergeCell ref="B38:B39"/>
    <mergeCell ref="B41:B48"/>
  </mergeCells>
  <conditionalFormatting sqref="U43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U41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4:T54">
    <cfRule type="dataBar" priority="8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2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2 R4:R52 T4:T52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hyperlinks>
    <hyperlink ref="N3" r:id="rId1"/>
    <hyperlink ref="N4" r:id="rId2"/>
    <hyperlink ref="N7" r:id="rId3"/>
    <hyperlink ref="N8" r:id="rId4"/>
    <hyperlink ref="N11" r:id="rId5"/>
    <hyperlink ref="N14" r:id="rId6"/>
    <hyperlink ref="N15" r:id="rId7"/>
    <hyperlink ref="N20" r:id="rId8"/>
    <hyperlink ref="N21" r:id="rId9"/>
    <hyperlink ref="N22" r:id="rId10"/>
    <hyperlink ref="N26" r:id="rId11"/>
    <hyperlink ref="N27" r:id="rId12"/>
    <hyperlink ref="N29" r:id="rId13"/>
    <hyperlink ref="N33" r:id="rId14"/>
    <hyperlink ref="N31" r:id="rId15"/>
    <hyperlink ref="N34" r:id="rId16"/>
    <hyperlink ref="N37" r:id="rId17"/>
    <hyperlink ref="N40" r:id="rId18"/>
    <hyperlink ref="N44" r:id="rId19"/>
    <hyperlink ref="N45" r:id="rId20"/>
    <hyperlink ref="N46" r:id="rId21"/>
    <hyperlink ref="N47" r:id="rId22"/>
    <hyperlink ref="N48" r:id="rId23"/>
    <hyperlink ref="N49" r:id="rId24"/>
    <hyperlink ref="N51" r:id="rId25"/>
    <hyperlink ref="N10" r:id="rId26"/>
    <hyperlink ref="N9" r:id="rId27"/>
    <hyperlink ref="N13" r:id="rId28"/>
  </hyperlinks>
  <pageMargins left="0.7" right="0.7" top="0.75" bottom="0.75" header="0.3" footer="0.3"/>
  <pageSetup orientation="portrait"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U43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U41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Q54:T54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P3:P52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S6:S52 R4:R52 T4:T52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2021-10-14T16:22:41Z</dcterms:modified>
</cp:coreProperties>
</file>