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0" yWindow="0" windowWidth="28800" windowHeight="12300"/>
  </bookViews>
  <sheets>
    <sheet name="Sheet1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M18" i="1"/>
  <c r="O20" i="1"/>
  <c r="P20" i="1"/>
  <c r="Q20" i="1"/>
  <c r="AB4" i="1"/>
  <c r="AB5" i="1"/>
  <c r="AB6" i="1"/>
  <c r="AB7" i="1"/>
  <c r="AB8" i="1"/>
  <c r="AB9" i="1"/>
  <c r="AB10" i="1"/>
  <c r="AB11" i="1"/>
  <c r="AB12" i="1"/>
  <c r="AB13" i="1"/>
  <c r="Q14" i="1"/>
  <c r="AB14" i="1"/>
  <c r="Q15" i="1"/>
  <c r="AB15" i="1"/>
  <c r="AB16" i="1"/>
  <c r="AB17" i="1"/>
  <c r="AB18" i="1"/>
  <c r="AB19" i="1"/>
  <c r="AB20" i="1"/>
  <c r="Q21" i="1"/>
  <c r="AB21" i="1"/>
  <c r="AB22" i="1"/>
  <c r="AB23" i="1"/>
  <c r="AB24" i="1"/>
  <c r="AB25" i="1"/>
  <c r="AB26" i="1"/>
  <c r="Q27" i="1"/>
  <c r="AB27" i="1"/>
  <c r="AB28" i="1"/>
  <c r="Q29" i="1"/>
  <c r="AB29" i="1"/>
  <c r="Q30" i="1"/>
  <c r="AB30" i="1"/>
  <c r="Q31" i="1"/>
  <c r="AB31" i="1"/>
  <c r="Q32" i="1"/>
  <c r="AB32" i="1"/>
  <c r="Q33" i="1"/>
  <c r="AB33" i="1"/>
  <c r="Q34" i="1"/>
  <c r="AB34" i="1"/>
  <c r="Q35" i="1"/>
  <c r="AB35" i="1"/>
  <c r="Q36" i="1"/>
  <c r="AB36" i="1"/>
  <c r="Q37" i="1"/>
  <c r="AB37" i="1"/>
  <c r="Q38" i="1"/>
  <c r="AB38" i="1"/>
  <c r="Q39" i="1"/>
  <c r="AB39" i="1"/>
  <c r="Q40" i="1"/>
  <c r="AB40" i="1"/>
  <c r="Q41" i="1"/>
  <c r="AB41" i="1"/>
  <c r="Q42" i="1"/>
  <c r="AB42" i="1"/>
  <c r="Q43" i="1"/>
  <c r="AB43" i="1"/>
  <c r="Q44" i="1"/>
  <c r="AB44" i="1"/>
  <c r="Q45" i="1"/>
  <c r="AB45" i="1"/>
  <c r="Q46" i="1"/>
  <c r="AB46" i="1"/>
  <c r="Q47" i="1"/>
  <c r="AB47" i="1"/>
  <c r="Q48" i="1"/>
  <c r="AB48" i="1"/>
  <c r="Q49" i="1"/>
  <c r="AB49" i="1"/>
  <c r="Q50" i="1"/>
  <c r="AB50" i="1"/>
  <c r="Q51" i="1"/>
  <c r="AB51" i="1"/>
  <c r="Q52" i="1"/>
  <c r="AB52" i="1"/>
  <c r="Z4" i="1"/>
  <c r="Z5" i="1"/>
  <c r="Z6" i="1"/>
  <c r="Z7" i="1"/>
  <c r="Z8" i="1"/>
  <c r="Z9" i="1"/>
  <c r="Z10" i="1"/>
  <c r="Z11" i="1"/>
  <c r="Z12" i="1"/>
  <c r="Z13" i="1"/>
  <c r="P14" i="1"/>
  <c r="Z14" i="1"/>
  <c r="P15" i="1"/>
  <c r="Z15" i="1"/>
  <c r="Z16" i="1"/>
  <c r="Z17" i="1"/>
  <c r="Z18" i="1"/>
  <c r="Z19" i="1"/>
  <c r="Z20" i="1"/>
  <c r="P21" i="1"/>
  <c r="Z21" i="1"/>
  <c r="Z22" i="1"/>
  <c r="Z23" i="1"/>
  <c r="Z24" i="1"/>
  <c r="Z25" i="1"/>
  <c r="Z26" i="1"/>
  <c r="P27" i="1"/>
  <c r="Z27" i="1"/>
  <c r="Z28" i="1"/>
  <c r="P29" i="1"/>
  <c r="Z29" i="1"/>
  <c r="P30" i="1"/>
  <c r="Z30" i="1"/>
  <c r="P31" i="1"/>
  <c r="Z31" i="1"/>
  <c r="P32" i="1"/>
  <c r="Z32" i="1"/>
  <c r="P33" i="1"/>
  <c r="Z33" i="1"/>
  <c r="P34" i="1"/>
  <c r="Z34" i="1"/>
  <c r="P35" i="1"/>
  <c r="Z35" i="1"/>
  <c r="P36" i="1"/>
  <c r="Z36" i="1"/>
  <c r="P37" i="1"/>
  <c r="Z37" i="1"/>
  <c r="P38" i="1"/>
  <c r="Z38" i="1"/>
  <c r="P39" i="1"/>
  <c r="Z39" i="1"/>
  <c r="P40" i="1"/>
  <c r="Z40" i="1"/>
  <c r="P41" i="1"/>
  <c r="Z41" i="1"/>
  <c r="P42" i="1"/>
  <c r="Z42" i="1"/>
  <c r="P43" i="1"/>
  <c r="Z43" i="1"/>
  <c r="P44" i="1"/>
  <c r="Z44" i="1"/>
  <c r="P45" i="1"/>
  <c r="Z45" i="1"/>
  <c r="P46" i="1"/>
  <c r="Z46" i="1"/>
  <c r="P47" i="1"/>
  <c r="Z47" i="1"/>
  <c r="P48" i="1"/>
  <c r="Z48" i="1"/>
  <c r="P49" i="1"/>
  <c r="Z49" i="1"/>
  <c r="P50" i="1"/>
  <c r="Z50" i="1"/>
  <c r="P51" i="1"/>
  <c r="Z51" i="1"/>
  <c r="P52" i="1"/>
  <c r="Z52" i="1"/>
  <c r="V5" i="1"/>
  <c r="V6" i="1"/>
  <c r="V7" i="1"/>
  <c r="V8" i="1"/>
  <c r="N9" i="1"/>
  <c r="V9" i="1"/>
  <c r="V10" i="1"/>
  <c r="V11" i="1"/>
  <c r="V12" i="1"/>
  <c r="V13" i="1"/>
  <c r="N14" i="1"/>
  <c r="V14" i="1"/>
  <c r="N15" i="1"/>
  <c r="V15" i="1"/>
  <c r="V16" i="1"/>
  <c r="V17" i="1"/>
  <c r="V18" i="1"/>
  <c r="V19" i="1"/>
  <c r="N20" i="1"/>
  <c r="V20" i="1"/>
  <c r="N21" i="1"/>
  <c r="V21" i="1"/>
  <c r="V22" i="1"/>
  <c r="V23" i="1"/>
  <c r="V24" i="1"/>
  <c r="V25" i="1"/>
  <c r="V26" i="1"/>
  <c r="N27" i="1"/>
  <c r="V27" i="1"/>
  <c r="V28" i="1"/>
  <c r="N29" i="1"/>
  <c r="V29" i="1"/>
  <c r="N30" i="1"/>
  <c r="V30" i="1"/>
  <c r="N31" i="1"/>
  <c r="V31" i="1"/>
  <c r="N32" i="1"/>
  <c r="V32" i="1"/>
  <c r="N33" i="1"/>
  <c r="V33" i="1"/>
  <c r="N34" i="1"/>
  <c r="V34" i="1"/>
  <c r="N35" i="1"/>
  <c r="V35" i="1"/>
  <c r="N36" i="1"/>
  <c r="V36" i="1"/>
  <c r="N37" i="1"/>
  <c r="V37" i="1"/>
  <c r="N38" i="1"/>
  <c r="V38" i="1"/>
  <c r="N39" i="1"/>
  <c r="V39" i="1"/>
  <c r="N40" i="1"/>
  <c r="V40" i="1"/>
  <c r="N41" i="1"/>
  <c r="V41" i="1"/>
  <c r="N42" i="1"/>
  <c r="V42" i="1"/>
  <c r="N43" i="1"/>
  <c r="V43" i="1"/>
  <c r="N44" i="1"/>
  <c r="V44" i="1"/>
  <c r="N45" i="1"/>
  <c r="V45" i="1"/>
  <c r="N46" i="1"/>
  <c r="V46" i="1"/>
  <c r="N47" i="1"/>
  <c r="V47" i="1"/>
  <c r="N48" i="1"/>
  <c r="V48" i="1"/>
  <c r="N49" i="1"/>
  <c r="V49" i="1"/>
  <c r="N50" i="1"/>
  <c r="V50" i="1"/>
  <c r="N51" i="1"/>
  <c r="V51" i="1"/>
  <c r="N52" i="1"/>
  <c r="V52" i="1"/>
  <c r="T5" i="1"/>
  <c r="T6" i="1"/>
  <c r="T7" i="1"/>
  <c r="T8" i="1"/>
  <c r="M9" i="1"/>
  <c r="T9" i="1"/>
  <c r="T10" i="1"/>
  <c r="T11" i="1"/>
  <c r="T12" i="1"/>
  <c r="T13" i="1"/>
  <c r="M14" i="1"/>
  <c r="T14" i="1"/>
  <c r="M15" i="1"/>
  <c r="T15" i="1"/>
  <c r="T16" i="1"/>
  <c r="T17" i="1"/>
  <c r="T18" i="1"/>
  <c r="T19" i="1"/>
  <c r="M20" i="1"/>
  <c r="T20" i="1"/>
  <c r="M21" i="1"/>
  <c r="T21" i="1"/>
  <c r="T22" i="1"/>
  <c r="M23" i="1"/>
  <c r="T23" i="1"/>
  <c r="T24" i="1"/>
  <c r="T25" i="1"/>
  <c r="T26" i="1"/>
  <c r="M27" i="1"/>
  <c r="T27" i="1"/>
  <c r="T28" i="1"/>
  <c r="M29" i="1"/>
  <c r="T29" i="1"/>
  <c r="M30" i="1"/>
  <c r="T30" i="1"/>
  <c r="M31" i="1"/>
  <c r="T31" i="1"/>
  <c r="M32" i="1"/>
  <c r="T32" i="1"/>
  <c r="M33" i="1"/>
  <c r="T33" i="1"/>
  <c r="M34" i="1"/>
  <c r="T34" i="1"/>
  <c r="M35" i="1"/>
  <c r="T35" i="1"/>
  <c r="M36" i="1"/>
  <c r="T36" i="1"/>
  <c r="M37" i="1"/>
  <c r="T37" i="1"/>
  <c r="M38" i="1"/>
  <c r="T38" i="1"/>
  <c r="M39" i="1"/>
  <c r="T39" i="1"/>
  <c r="M40" i="1"/>
  <c r="T40" i="1"/>
  <c r="M41" i="1"/>
  <c r="T41" i="1"/>
  <c r="M42" i="1"/>
  <c r="T42" i="1"/>
  <c r="M43" i="1"/>
  <c r="T43" i="1"/>
  <c r="M44" i="1"/>
  <c r="T44" i="1"/>
  <c r="M45" i="1"/>
  <c r="T45" i="1"/>
  <c r="M46" i="1"/>
  <c r="T46" i="1"/>
  <c r="M47" i="1"/>
  <c r="T47" i="1"/>
  <c r="M48" i="1"/>
  <c r="T48" i="1"/>
  <c r="M49" i="1"/>
  <c r="T49" i="1"/>
  <c r="M50" i="1"/>
  <c r="T50" i="1"/>
  <c r="M51" i="1"/>
  <c r="T51" i="1"/>
  <c r="M52" i="1"/>
  <c r="T52" i="1"/>
  <c r="X4" i="1"/>
  <c r="X5" i="1"/>
  <c r="X6" i="1"/>
  <c r="X7" i="1"/>
  <c r="X8" i="1"/>
  <c r="X9" i="1"/>
  <c r="X10" i="1"/>
  <c r="X11" i="1"/>
  <c r="X12" i="1"/>
  <c r="X13" i="1"/>
  <c r="O14" i="1"/>
  <c r="X14" i="1"/>
  <c r="O15" i="1"/>
  <c r="X15" i="1"/>
  <c r="X16" i="1"/>
  <c r="X17" i="1"/>
  <c r="X18" i="1"/>
  <c r="X19" i="1"/>
  <c r="X20" i="1"/>
  <c r="O21" i="1"/>
  <c r="X21" i="1"/>
  <c r="X22" i="1"/>
  <c r="X23" i="1"/>
  <c r="X24" i="1"/>
  <c r="X25" i="1"/>
  <c r="X26" i="1"/>
  <c r="O27" i="1"/>
  <c r="X27" i="1"/>
  <c r="X28" i="1"/>
  <c r="O29" i="1"/>
  <c r="X29" i="1"/>
  <c r="O30" i="1"/>
  <c r="X30" i="1"/>
  <c r="O31" i="1"/>
  <c r="X31" i="1"/>
  <c r="O32" i="1"/>
  <c r="X32" i="1"/>
  <c r="O33" i="1"/>
  <c r="X33" i="1"/>
  <c r="O34" i="1"/>
  <c r="X34" i="1"/>
  <c r="O35" i="1"/>
  <c r="X35" i="1"/>
  <c r="O36" i="1"/>
  <c r="X36" i="1"/>
  <c r="O37" i="1"/>
  <c r="X37" i="1"/>
  <c r="O38" i="1"/>
  <c r="X38" i="1"/>
  <c r="O39" i="1"/>
  <c r="X39" i="1"/>
  <c r="O40" i="1"/>
  <c r="X40" i="1"/>
  <c r="O41" i="1"/>
  <c r="X41" i="1"/>
  <c r="O42" i="1"/>
  <c r="X42" i="1"/>
  <c r="O43" i="1"/>
  <c r="X43" i="1"/>
  <c r="O44" i="1"/>
  <c r="X44" i="1"/>
  <c r="O45" i="1"/>
  <c r="X45" i="1"/>
  <c r="O46" i="1"/>
  <c r="X46" i="1"/>
  <c r="O47" i="1"/>
  <c r="X47" i="1"/>
  <c r="O48" i="1"/>
  <c r="X48" i="1"/>
  <c r="O49" i="1"/>
  <c r="X49" i="1"/>
  <c r="O50" i="1"/>
  <c r="X50" i="1"/>
  <c r="O51" i="1"/>
  <c r="X51" i="1"/>
  <c r="O52" i="1"/>
  <c r="X52" i="1"/>
  <c r="V4" i="1"/>
  <c r="T4" i="1"/>
  <c r="AB3" i="1"/>
  <c r="Z3" i="1"/>
  <c r="X3" i="1"/>
  <c r="V3" i="1"/>
  <c r="T54" i="1"/>
  <c r="V53" i="1"/>
  <c r="V54" i="1"/>
</calcChain>
</file>

<file path=xl/sharedStrings.xml><?xml version="1.0" encoding="utf-8"?>
<sst xmlns="http://schemas.openxmlformats.org/spreadsheetml/2006/main" count="362" uniqueCount="282">
  <si>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</si>
  <si>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</si>
  <si>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</si>
  <si>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</si>
  <si>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</si>
  <si>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</si>
  <si>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</si>
  <si>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</si>
  <si>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</si>
  <si>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</si>
  <si>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</si>
  <si>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</si>
  <si>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Remarks</t>
  </si>
  <si>
    <t>Capacitor</t>
  </si>
  <si>
    <t>0.1uF</t>
  </si>
  <si>
    <t>LCSC</t>
  </si>
  <si>
    <t>1uF</t>
  </si>
  <si>
    <t>22uF</t>
  </si>
  <si>
    <t>10uF</t>
  </si>
  <si>
    <t>Custom</t>
  </si>
  <si>
    <t>KEMET</t>
  </si>
  <si>
    <t>Diode</t>
  </si>
  <si>
    <t>SS34</t>
  </si>
  <si>
    <t>SMA</t>
  </si>
  <si>
    <t>Inductor</t>
  </si>
  <si>
    <t>L1</t>
  </si>
  <si>
    <t>L2</t>
  </si>
  <si>
    <t>Mosfet</t>
  </si>
  <si>
    <t>Q1, Q2, Q3</t>
  </si>
  <si>
    <t>Resistor</t>
  </si>
  <si>
    <t>R4</t>
  </si>
  <si>
    <t>R6</t>
  </si>
  <si>
    <t>C149662</t>
  </si>
  <si>
    <t>CR1206FR050P05R</t>
  </si>
  <si>
    <t>0.05R</t>
  </si>
  <si>
    <t>100K</t>
  </si>
  <si>
    <t>U1</t>
  </si>
  <si>
    <t>U2</t>
  </si>
  <si>
    <t>U3</t>
  </si>
  <si>
    <t>U4</t>
  </si>
  <si>
    <t>U8</t>
  </si>
  <si>
    <t>U6</t>
  </si>
  <si>
    <t>U7</t>
  </si>
  <si>
    <t>J1</t>
  </si>
  <si>
    <t>J6</t>
  </si>
  <si>
    <t xml:space="preserve">Total Component Cost </t>
  </si>
  <si>
    <t>Single Board Cost</t>
  </si>
  <si>
    <t>Link</t>
  </si>
  <si>
    <t xml:space="preserve">Bill of Material (BOM) for Refrence Formate </t>
  </si>
  <si>
    <t xml:space="preserve">CAP CER 0.1UF 50V X7R 0402
</t>
  </si>
  <si>
    <t>0402</t>
  </si>
  <si>
    <t>04025C104KAT2A</t>
  </si>
  <si>
    <t xml:space="preserve">KYOCERA AVX
</t>
  </si>
  <si>
    <t>Ceramic Capacitor,100nF,10V,0603</t>
  </si>
  <si>
    <r>
      <t>C2, C17, C18, C19, C23, C24, C25, C26, C27, C28,C4, C8, C12, C20, C21, C22,</t>
    </r>
    <r>
      <rPr>
        <sz val="10"/>
        <color rgb="FFFF0000"/>
        <rFont val="Calibri"/>
        <family val="2"/>
        <scheme val="minor"/>
      </rPr>
      <t>Ce1,Ce2,Ce3,C31,C4</t>
    </r>
  </si>
  <si>
    <t>0603</t>
  </si>
  <si>
    <t>CC0603KRX7R6BB104</t>
  </si>
  <si>
    <t>YAGEO</t>
  </si>
  <si>
    <t>Ceramic Capacitor,22uF,10V,0805,X5R</t>
  </si>
  <si>
    <t>C3, C9, C13, C14, C15</t>
  </si>
  <si>
    <t>0805</t>
  </si>
  <si>
    <t>0805X226M100NT</t>
  </si>
  <si>
    <t>Tantalum capacitor 10uF 10V, CASE-A_3216</t>
  </si>
  <si>
    <t>C5, C6</t>
  </si>
  <si>
    <t>CASE-A_3216</t>
  </si>
  <si>
    <t>CA45-106K010AT</t>
  </si>
  <si>
    <t xml:space="preserve">CAP CER 100PF 50V C0G 0603
</t>
  </si>
  <si>
    <t>C7</t>
  </si>
  <si>
    <t>CGA3E2C0G1H101JT0Y0N</t>
  </si>
  <si>
    <t xml:space="preserve">TDK </t>
  </si>
  <si>
    <t xml:space="preserve">CAP CER 0.1UF 25V X5R 0402
</t>
  </si>
  <si>
    <t>C10</t>
  </si>
  <si>
    <t>0402X104K250CT</t>
  </si>
  <si>
    <t xml:space="preserve">Walsin </t>
  </si>
  <si>
    <t xml:space="preserve">CAP TANT 150UF 10% 10V 2917
</t>
  </si>
  <si>
    <t>C11</t>
  </si>
  <si>
    <t>CASE-D_7343</t>
  </si>
  <si>
    <t>T495D157K010ATE100</t>
  </si>
  <si>
    <t xml:space="preserve">CAP CER 10000PF 25V X7R 0603
</t>
  </si>
  <si>
    <t>C16</t>
  </si>
  <si>
    <t>06033C103JAT4A</t>
  </si>
  <si>
    <t xml:space="preserve">KYOCERA </t>
  </si>
  <si>
    <t xml:space="preserve">CAP CER 1UF 25V X5R 0603
</t>
  </si>
  <si>
    <t>Ce4</t>
  </si>
  <si>
    <t xml:space="preserve">TMK107BLD105KA-T
</t>
  </si>
  <si>
    <t xml:space="preserve">Taiyo Yuden
</t>
  </si>
  <si>
    <t>Ceramic Capacitor,22pF,50V,0603</t>
  </si>
  <si>
    <t>C29, C30</t>
  </si>
  <si>
    <t>FN18N220J500PSG</t>
  </si>
  <si>
    <t>40V 3A 550mV @ 3A SMA Schottky Barrier Diodes (SBD) RoHS</t>
  </si>
  <si>
    <t>D1, D9, D10</t>
  </si>
  <si>
    <t xml:space="preserve">onsemi
</t>
  </si>
  <si>
    <t xml:space="preserve">TVS DIODE 5VWM 12.3VC SOD923
</t>
  </si>
  <si>
    <t>D2, D3, D4</t>
  </si>
  <si>
    <t>SOD-923-2</t>
  </si>
  <si>
    <t>ESD9X5.0ST5G</t>
  </si>
  <si>
    <t>onsemi</t>
  </si>
  <si>
    <t>Led Zpower Warm White 3000K 2SMD</t>
  </si>
  <si>
    <t>D5, D6, D7, D8</t>
  </si>
  <si>
    <t>SMD/SMT</t>
  </si>
  <si>
    <t>N42180-06-S2</t>
  </si>
  <si>
    <t xml:space="preserve">Seoul Semiconductor
</t>
  </si>
  <si>
    <t>Fuse</t>
  </si>
  <si>
    <t xml:space="preserve">6V 3.5A 1.5s SMD PTC Resettable Fuses </t>
  </si>
  <si>
    <t>F1, F2</t>
  </si>
  <si>
    <t>SMD1206B200TF</t>
  </si>
  <si>
    <t>4.7uH ±20% 4A 26mΩ SMD,6x6x4.2mm Power Inductors RoHS</t>
  </si>
  <si>
    <t>SMD,6x6x4.2mm</t>
  </si>
  <si>
    <t>HPC6045NF-4R7MTH</t>
  </si>
  <si>
    <t>1uH ±20% 18A 3mΩ 10.0*11.5*4.0 Power Inductors RoHS</t>
  </si>
  <si>
    <t>10.0*11.5*4.0</t>
  </si>
  <si>
    <t>MCS1040-1R0MN1</t>
  </si>
  <si>
    <t xml:space="preserve"> 
10uH ±20% 500mA 320mΩ 0805 Inductors (SMD)</t>
  </si>
  <si>
    <t>L3</t>
  </si>
  <si>
    <t>MGFL2012F100MT-LF</t>
  </si>
  <si>
    <t>LED</t>
  </si>
  <si>
    <t>LED, Red, Untinted, Diffused</t>
  </si>
  <si>
    <t>LED1</t>
  </si>
  <si>
    <t>Pitch-2.5mm, TH</t>
  </si>
  <si>
    <t>KP DELPS1.FP-UGVI-34-Z555</t>
  </si>
  <si>
    <t xml:space="preserve">KP </t>
  </si>
  <si>
    <t>LED, Green, Untinted, Diffused</t>
  </si>
  <si>
    <t>LED2, LED3, LED4</t>
  </si>
  <si>
    <t xml:space="preserve">OSRAM </t>
  </si>
  <si>
    <t>N-Channel 20V 3A 1.25W (Ta) Surface Mount SOT-23</t>
  </si>
  <si>
    <t>SOT-23</t>
  </si>
  <si>
    <t>SI2302-TP</t>
  </si>
  <si>
    <t xml:space="preserve">Micro </t>
  </si>
  <si>
    <t>Thick Film Resistor - 0.001ohm, 1%, 2512</t>
  </si>
  <si>
    <t>R1</t>
  </si>
  <si>
    <t>2512</t>
  </si>
  <si>
    <t>LR2512D-2W-1mR-1%</t>
  </si>
  <si>
    <t>Thick Film Resistor -  100Kohm, 1%, 0603</t>
  </si>
  <si>
    <t>R2, R19, R20</t>
  </si>
  <si>
    <t>RS-03K1001FT</t>
  </si>
  <si>
    <t>Thick Film Resistor -  1Kohm, 1%, 0603</t>
  </si>
  <si>
    <t>Thick Film Resistor -  33Kohm, 1%, 0603</t>
  </si>
  <si>
    <t>RC0603FR-0733KL</t>
  </si>
  <si>
    <t xml:space="preserve">RES 100 OHM 1% 1/10W 0603
</t>
  </si>
  <si>
    <t>R5</t>
  </si>
  <si>
    <t>RMCF0603FT100R</t>
  </si>
  <si>
    <t xml:space="preserve">Stackpole </t>
  </si>
  <si>
    <t>Thick Film Resistor - 0.05ohm, 1%, 1206</t>
  </si>
  <si>
    <t>1206</t>
  </si>
  <si>
    <t>Thick Film Resistor - 1Kohm, 1%, 0603</t>
  </si>
  <si>
    <t>WR06X102 JTL</t>
  </si>
  <si>
    <t>Thick Film Resistor -  12Kohm, 1%, 0603</t>
  </si>
  <si>
    <t>R9</t>
  </si>
  <si>
    <t>RS-03K123JT</t>
  </si>
  <si>
    <t xml:space="preserve">RES SMD 0.0 JUMPER 1/10W 0603
</t>
  </si>
  <si>
    <t>R10</t>
  </si>
  <si>
    <t>WR06X000 PTL</t>
  </si>
  <si>
    <t>Thick Film Resistor - 10ohm, 1%, 0603</t>
  </si>
  <si>
    <t>R11</t>
  </si>
  <si>
    <t>RS-03K100JT</t>
  </si>
  <si>
    <t xml:space="preserve">RES 10K OHM 5% 1/10W 0603
</t>
  </si>
  <si>
    <r>
      <t>R12, R13, R15, R18,</t>
    </r>
    <r>
      <rPr>
        <sz val="10"/>
        <color rgb="FFFF0000"/>
        <rFont val="Calibri"/>
        <family val="2"/>
        <scheme val="minor"/>
      </rPr>
      <t>RE1,RE2</t>
    </r>
  </si>
  <si>
    <t>RK73B1JTTD103J</t>
  </si>
  <si>
    <t xml:space="preserve">KOA </t>
  </si>
  <si>
    <t xml:space="preserve">RES 41.2K OHM 1% 1/10W 0603
</t>
  </si>
  <si>
    <t>R14</t>
  </si>
  <si>
    <t>RC0603FR-1041K2L</t>
  </si>
  <si>
    <t>Thick Film Resistor -  3.3Kohm, 1%, 0603</t>
  </si>
  <si>
    <t>R21, R22, R23</t>
  </si>
  <si>
    <t>RS-03K3301FT</t>
  </si>
  <si>
    <t>Thick Film Resistor - 0.1ohm, 1%, 0.25W, 1206</t>
  </si>
  <si>
    <t>R24, R25, R26, R27</t>
  </si>
  <si>
    <t>CR1206FR100P05R</t>
  </si>
  <si>
    <t xml:space="preserve">RES SMD 400 OHM 0.1% 1/4W 1206
</t>
  </si>
  <si>
    <t>RE3</t>
  </si>
  <si>
    <t>RT1206BRD07400RL</t>
  </si>
  <si>
    <t>Switch</t>
  </si>
  <si>
    <t>SPST 50mA @ 12VDC Top Actuated Round Button 160gf 4.5*4.5*5 Tactile Switch</t>
  </si>
  <si>
    <t>S1</t>
  </si>
  <si>
    <t>4.5X4.5X5mm_SMD</t>
  </si>
  <si>
    <t>UK-B0206-G5-160-JZ</t>
  </si>
  <si>
    <t>SPST 50mA @ 12VDC Side operation Round Button Through Hole Tactile Switches</t>
  </si>
  <si>
    <t>S2</t>
  </si>
  <si>
    <t>TH</t>
  </si>
  <si>
    <t>SKHHLQA010</t>
  </si>
  <si>
    <t>Crystal</t>
  </si>
  <si>
    <t xml:space="preserve">CRYSTAL 16.0000MHZ 12PF SMD
</t>
  </si>
  <si>
    <t>X1</t>
  </si>
  <si>
    <t>SMD-2520_4P</t>
  </si>
  <si>
    <t>XXDPBISANF-16.000000</t>
  </si>
  <si>
    <t>Taitien</t>
  </si>
  <si>
    <t>IC</t>
  </si>
  <si>
    <t>DW01A battery protection IC SOT-23-6 (Sunrom Product Code 4911)</t>
  </si>
  <si>
    <t>SOT-23-6</t>
  </si>
  <si>
    <t>DW01A</t>
  </si>
  <si>
    <t>QFN-16_4x4x065P PMIC - Battery Management RoHS</t>
  </si>
  <si>
    <t>QFN-16_4x4x065P</t>
  </si>
  <si>
    <t>TP5000-QFN16</t>
  </si>
  <si>
    <t>Dual N-Channel Mosfet TSSOP-8 (Sunrom Product Code 5292)</t>
  </si>
  <si>
    <t>TSSOP-8</t>
  </si>
  <si>
    <t>FS8205A</t>
  </si>
  <si>
    <t xml:space="preserve">IC CURR SENSE 1 CIRCUIT SOT23-6
</t>
  </si>
  <si>
    <t>INA181A3IDBVR</t>
  </si>
  <si>
    <t xml:space="preserve">Texas </t>
  </si>
  <si>
    <t xml:space="preserve">IC REG BOOST 5.1V 6.5A 9VQFN
</t>
  </si>
  <si>
    <t>U5</t>
  </si>
  <si>
    <t>VQFN-9</t>
  </si>
  <si>
    <t>TPS61235PRWLR</t>
  </si>
  <si>
    <t>MICROCHIP - ATMEGA328P-AU. - MICROCONTROLLER MCU, 8 BIT, ATMEGA, 20MHZ, TQFP-32</t>
  </si>
  <si>
    <t>TQFP-32</t>
  </si>
  <si>
    <t>ATMEGA328P-AU</t>
  </si>
  <si>
    <t xml:space="preserve">Microchip </t>
  </si>
  <si>
    <t xml:space="preserve">IC OR CTRLR SRC SELECT 8TSSOP
</t>
  </si>
  <si>
    <t xml:space="preserve">8-TSSOP
</t>
  </si>
  <si>
    <t>TISTPS2111APWR</t>
  </si>
  <si>
    <t xml:space="preserve">IC PWR SWITCH P-CHAN 1:1 4TMLF
</t>
  </si>
  <si>
    <t xml:space="preserve"> 
4-TMLF</t>
  </si>
  <si>
    <t>MIC94082YFT-TR</t>
  </si>
  <si>
    <t xml:space="preserve">Connector </t>
  </si>
  <si>
    <t xml:space="preserve">CONN PWR JACK 2.1X5.5MM SOLDER
</t>
  </si>
  <si>
    <t>694106301002</t>
  </si>
  <si>
    <t xml:space="preserve">Würth </t>
  </si>
  <si>
    <t>USB B-type Female Right Angle PCB Mount</t>
  </si>
  <si>
    <t>J3</t>
  </si>
  <si>
    <t>Sunrom 3966</t>
  </si>
  <si>
    <t xml:space="preserve">CONN RCPT USB2.0 TYPEA 4POS R/A
</t>
  </si>
  <si>
    <t>J4, J5</t>
  </si>
  <si>
    <t>292303-1</t>
  </si>
  <si>
    <t xml:space="preserve">TE </t>
  </si>
  <si>
    <t>Pin Header 6P 2 right-angle, P=2.54mm</t>
  </si>
  <si>
    <t>TH 2.54MM</t>
  </si>
  <si>
    <t>PZ254V-12-6P</t>
  </si>
  <si>
    <t>Quantity 10</t>
  </si>
  <si>
    <t>Quantity 20</t>
  </si>
  <si>
    <t>Quantity 500</t>
  </si>
  <si>
    <t>Quantity 1000</t>
  </si>
  <si>
    <t>Quantity 10000</t>
  </si>
  <si>
    <t>Unit Cost(10)</t>
  </si>
  <si>
    <t>Total Cost(10)</t>
  </si>
  <si>
    <t>C110251</t>
  </si>
  <si>
    <t>0402B104K500NT</t>
  </si>
  <si>
    <t>Unit Cost (20 Boards)</t>
  </si>
  <si>
    <t>Total Cost (20)</t>
  </si>
  <si>
    <t>Unit Cost (500 Boards)</t>
  </si>
  <si>
    <t>Total Cost (500)</t>
  </si>
  <si>
    <t>Unit Cost (1000 Boards)</t>
  </si>
  <si>
    <t>Total Cost (1000)</t>
  </si>
  <si>
    <t>Unit Cost (10000 Boards)</t>
  </si>
  <si>
    <t>Total Cost (10000)</t>
  </si>
  <si>
    <t>C519438</t>
  </si>
  <si>
    <t>-</t>
  </si>
  <si>
    <t>100nF</t>
  </si>
  <si>
    <t>FH</t>
  </si>
  <si>
    <t>C503482</t>
  </si>
  <si>
    <t xml:space="preserve">TANCAP </t>
  </si>
  <si>
    <t>C327722</t>
  </si>
  <si>
    <t>C76709</t>
  </si>
  <si>
    <t>100pF</t>
  </si>
  <si>
    <t>C237172</t>
  </si>
  <si>
    <t>C122324</t>
  </si>
  <si>
    <t>150uF</t>
  </si>
  <si>
    <t>C327204</t>
  </si>
  <si>
    <t>0603F105M250NT</t>
  </si>
  <si>
    <t>C36577</t>
  </si>
  <si>
    <t>10nF</t>
  </si>
  <si>
    <t>PSA</t>
  </si>
  <si>
    <t>C525244</t>
  </si>
  <si>
    <t>22pF</t>
  </si>
  <si>
    <t>C8678</t>
  </si>
  <si>
    <t xml:space="preserve">Brightking </t>
  </si>
  <si>
    <t>C269122</t>
  </si>
  <si>
    <t>TAI-TECH</t>
  </si>
  <si>
    <t>C304373</t>
  </si>
  <si>
    <t>C559447</t>
  </si>
  <si>
    <t xml:space="preserve">microgate </t>
  </si>
  <si>
    <t>C281113</t>
  </si>
  <si>
    <t>C77977</t>
  </si>
  <si>
    <t xml:space="preserve">Milliohm </t>
  </si>
  <si>
    <t>C500612</t>
  </si>
  <si>
    <t>0.001ohm</t>
  </si>
  <si>
    <t>C115325</t>
  </si>
  <si>
    <t>1k</t>
  </si>
  <si>
    <t>C126359</t>
  </si>
  <si>
    <t>33k</t>
  </si>
  <si>
    <t xml:space="preserve">Ever </t>
  </si>
  <si>
    <r>
      <t>R3, R7, R16, R17,</t>
    </r>
    <r>
      <rPr>
        <sz val="10"/>
        <color rgb="FFFF0000"/>
        <rFont val="Calibri"/>
        <family val="2"/>
        <scheme val="minor"/>
      </rPr>
      <t>R29,</t>
    </r>
    <r>
      <rPr>
        <sz val="10"/>
        <color theme="1"/>
        <rFont val="Calibri"/>
        <family val="2"/>
        <scheme val="minor"/>
      </rPr>
      <t>R8</t>
    </r>
  </si>
  <si>
    <t>C1,C10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</si>
</sst>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8" formatCode="&quot;$&quot;#,##0.0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98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7" fillId="0" borderId="7" xfId="1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11" xfId="1" quotePrefix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5" borderId="0" xfId="0" applyFont="1" applyFill="1" applyAlignment="1">
      <alignment horizontal="left" vertical="top" wrapText="1"/>
    </xf>
    <xf numFmtId="0" fontId="0" fillId="5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5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164" fontId="4" fillId="0" borderId="7" xfId="0" applyNumberFormat="1" applyFont="1" applyFill="1" applyBorder="1" applyAlignment="1">
      <alignment horizontal="center" vertical="center"/>
    </xf>
    <xf numFmtId="164" fontId="5" fillId="0" borderId="7" xfId="0" applyNumberFormat="1" applyFont="1" applyFill="1" applyBorder="1" applyAlignment="1">
      <alignment horizontal="center" vertical="center"/>
    </xf>
    <xf numFmtId="164" fontId="11" fillId="0" borderId="7" xfId="0" applyNumberFormat="1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5" fontId="5" fillId="3" borderId="7" xfId="0" applyNumberFormat="1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7" xfId="0" applyFill="1" applyBorder="1"/>
    <xf numFmtId="0" fontId="4" fillId="3" borderId="7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  <xf numFmtId="0" fontId="5" fillId="0" borderId="2" xfId="0" quotePrefix="1" applyFont="1" applyBorder="1" applyAlignment="1">
      <alignment horizontal="left"/>
    </xf>
    <xf numFmtId="0" fontId="5" fillId="3" borderId="3" xfId="0" quotePrefix="1" applyFont="1" applyFill="1" applyBorder="1" applyAlignment="1">
      <alignment horizontal="center"/>
    </xf>
    <xf numFmtId="0" fontId="5" fillId="0" borderId="3" xfId="0" quotePrefix="1" applyFont="1" applyBorder="1" applyAlignment="1">
      <alignment horizontal="center"/>
    </xf>
    <xf numFmtId="0" fontId="5" fillId="0" borderId="6" xfId="0" quotePrefix="1" applyFont="1" applyBorder="1" applyAlignment="1">
      <alignment horizontal="left" vertical="center"/>
    </xf>
    <xf numFmtId="0" fontId="5" fillId="3" borderId="7" xfId="0" quotePrefix="1" applyFont="1" applyFill="1" applyBorder="1" applyAlignment="1">
      <alignment horizontal="center" wrapText="1"/>
    </xf>
    <xf numFmtId="0" fontId="5" fillId="0" borderId="7" xfId="0" quotePrefix="1" applyFont="1" applyBorder="1" applyAlignment="1">
      <alignment horizontal="center"/>
    </xf>
    <xf numFmtId="0" fontId="5" fillId="0" borderId="6" xfId="0" quotePrefix="1" applyFont="1" applyBorder="1" applyAlignment="1">
      <alignment horizontal="left"/>
    </xf>
    <xf numFmtId="0" fontId="5" fillId="3" borderId="7" xfId="0" quotePrefix="1" applyFont="1" applyFill="1" applyBorder="1" applyAlignment="1">
      <alignment horizontal="center"/>
    </xf>
    <xf numFmtId="0" fontId="4" fillId="0" borderId="7" xfId="0" quotePrefix="1" applyFont="1" applyBorder="1" applyAlignment="1">
      <alignment horizontal="center" vertical="center" wrapText="1"/>
    </xf>
    <xf numFmtId="0" fontId="15" fillId="3" borderId="7" xfId="0" quotePrefix="1" applyFont="1" applyFill="1" applyBorder="1" applyAlignment="1">
      <alignment horizontal="center"/>
    </xf>
    <xf numFmtId="0" fontId="5" fillId="0" borderId="10" xfId="0" quotePrefix="1" applyFont="1" applyBorder="1" applyAlignment="1">
      <alignment horizontal="left"/>
    </xf>
    <xf numFmtId="0" fontId="5" fillId="3" borderId="11" xfId="0" quotePrefix="1" applyFont="1" applyFill="1" applyBorder="1" applyAlignment="1">
      <alignment horizontal="center"/>
    </xf>
    <xf numFmtId="0" fontId="5" fillId="0" borderId="11" xfId="0" quotePrefix="1" applyFont="1" applyBorder="1" applyAlignment="1">
      <alignment horizontal="center"/>
    </xf>
    <xf numFmtId="0" fontId="4" fillId="0" borderId="11" xfId="0" quotePrefix="1" applyFont="1" applyBorder="1" applyAlignment="1">
      <alignment horizontal="center" vertical="center" wrapText="1"/>
    </xf>
    <xf numFmtId="0" fontId="5" fillId="0" borderId="2" xfId="0" quotePrefix="1" applyFont="1" applyBorder="1"/>
    <xf numFmtId="0" fontId="5" fillId="0" borderId="6" xfId="0" quotePrefix="1" applyFont="1" applyBorder="1" applyAlignment="1"/>
    <xf numFmtId="0" fontId="5" fillId="0" borderId="10" xfId="0" quotePrefix="1" applyFont="1" applyBorder="1"/>
    <xf numFmtId="0" fontId="1" fillId="0" borderId="14" xfId="0" applyFont="1" applyBorder="1" applyAlignment="1">
      <alignment horizontal="center" vertical="center"/>
    </xf>
    <xf numFmtId="0" fontId="5" fillId="0" borderId="16" xfId="0" quotePrefix="1" applyFont="1" applyBorder="1" applyAlignment="1">
      <alignment horizontal="center" vertical="center"/>
    </xf>
    <xf numFmtId="0" fontId="4" fillId="0" borderId="16" xfId="0" quotePrefix="1" applyFont="1" applyBorder="1" applyAlignment="1">
      <alignment horizontal="center" vertical="center"/>
    </xf>
    <xf numFmtId="0" fontId="5" fillId="0" borderId="6" xfId="0" quotePrefix="1" applyFont="1" applyBorder="1"/>
    <xf numFmtId="0" fontId="5" fillId="0" borderId="21" xfId="0" quotePrefix="1" applyFont="1" applyBorder="1"/>
    <xf numFmtId="0" fontId="5" fillId="3" borderId="22" xfId="0" quotePrefix="1" applyFont="1" applyFill="1" applyBorder="1" applyAlignment="1">
      <alignment horizontal="center"/>
    </xf>
    <xf numFmtId="0" fontId="5" fillId="0" borderId="22" xfId="0" quotePrefix="1" applyFont="1" applyBorder="1" applyAlignment="1">
      <alignment horizontal="center"/>
    </xf>
    <xf numFmtId="0" fontId="5" fillId="0" borderId="22" xfId="0" quotePrefix="1" applyFont="1" applyBorder="1" applyAlignment="1">
      <alignment horizontal="center" vertical="center"/>
    </xf>
    <xf numFmtId="0" fontId="4" fillId="0" borderId="22" xfId="0" quotePrefix="1" applyFont="1" applyBorder="1" applyAlignment="1">
      <alignment horizontal="center" vertical="center"/>
    </xf>
    <xf numFmtId="0" fontId="16" fillId="3" borderId="7" xfId="0" quotePrefix="1" applyFont="1" applyFill="1" applyBorder="1" applyAlignment="1">
      <alignment horizontal="center"/>
    </xf>
    <xf numFmtId="0" fontId="5" fillId="0" borderId="10" xfId="0" quotePrefix="1" applyFont="1" applyBorder="1" applyAlignment="1"/>
    <xf numFmtId="0" fontId="15" fillId="3" borderId="11" xfId="0" quotePrefix="1" applyFont="1" applyFill="1" applyBorder="1" applyAlignment="1">
      <alignment horizontal="center"/>
    </xf>
    <xf numFmtId="0" fontId="0" fillId="0" borderId="3" xfId="0" quotePrefix="1" applyBorder="1" applyAlignment="1">
      <alignment horizontal="center"/>
    </xf>
    <xf numFmtId="0" fontId="0" fillId="0" borderId="3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/>
    </xf>
    <xf numFmtId="0" fontId="0" fillId="0" borderId="7" xfId="0" quotePrefix="1" applyBorder="1" applyAlignment="1">
      <alignment horizontal="center" vertical="center"/>
    </xf>
    <xf numFmtId="0" fontId="4" fillId="0" borderId="6" xfId="0" quotePrefix="1" applyFont="1" applyBorder="1" applyAlignment="1">
      <alignment horizontal="left"/>
    </xf>
    <xf numFmtId="0" fontId="4" fillId="3" borderId="7" xfId="0" quotePrefix="1" applyFont="1" applyFill="1" applyBorder="1" applyAlignment="1">
      <alignment horizontal="center"/>
    </xf>
    <xf numFmtId="0" fontId="4" fillId="0" borderId="10" xfId="0" quotePrefix="1" applyFont="1" applyBorder="1" applyAlignment="1">
      <alignment horizontal="left"/>
    </xf>
    <xf numFmtId="0" fontId="4" fillId="3" borderId="11" xfId="0" quotePrefix="1" applyFont="1" applyFill="1" applyBorder="1" applyAlignment="1">
      <alignment horizontal="center"/>
    </xf>
    <xf numFmtId="0" fontId="5" fillId="0" borderId="2" xfId="0" quotePrefix="1" applyFont="1" applyBorder="1" applyAlignment="1"/>
    <xf numFmtId="0" fontId="0" fillId="0" borderId="11" xfId="0" quotePrefix="1" applyBorder="1" applyAlignment="1">
      <alignment horizontal="center"/>
    </xf>
    <xf numFmtId="0" fontId="0" fillId="0" borderId="11" xfId="0" quotePrefix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164" fontId="6" fillId="0" borderId="7" xfId="1" applyNumberFormat="1" applyBorder="1" applyAlignment="1">
      <alignment horizontal="center" vertical="center"/>
    </xf>
    <xf numFmtId="168" fontId="4" fillId="0" borderId="7" xfId="0" applyNumberFormat="1" applyFont="1" applyBorder="1" applyAlignment="1">
      <alignment horizontal="center" vertical="center"/>
    </xf>
    <xf numFmtId="0" fontId="6" fillId="4" borderId="7" xfId="1" quotePrefix="1" applyFill="1" applyBorder="1" applyAlignment="1">
      <alignment horizontal="center" vertical="center"/>
    </xf>
    <xf numFmtId="165" fontId="11" fillId="4" borderId="7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3" xfId="1" quotePrefix="1" applyFont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4" fillId="0" borderId="22" xfId="0" quotePrefix="1" applyFont="1" applyBorder="1" applyAlignment="1">
      <alignment horizontal="center"/>
    </xf>
    <xf numFmtId="0" fontId="4" fillId="3" borderId="22" xfId="0" applyFont="1" applyFill="1" applyBorder="1" applyAlignment="1">
      <alignment horizontal="center" vertical="center" wrapText="1"/>
    </xf>
    <xf numFmtId="0" fontId="5" fillId="3" borderId="22" xfId="0" quotePrefix="1" applyFont="1" applyFill="1" applyBorder="1" applyAlignment="1">
      <alignment horizontal="center" vertical="center"/>
    </xf>
    <xf numFmtId="0" fontId="5" fillId="0" borderId="22" xfId="0" quotePrefix="1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/>
    </xf>
    <xf numFmtId="164" fontId="4" fillId="0" borderId="22" xfId="0" applyNumberFormat="1" applyFont="1" applyBorder="1" applyAlignment="1">
      <alignment horizontal="center" vertical="center"/>
    </xf>
    <xf numFmtId="164" fontId="5" fillId="0" borderId="22" xfId="0" applyNumberFormat="1" applyFont="1" applyBorder="1" applyAlignment="1">
      <alignment horizontal="center" vertical="center"/>
    </xf>
    <xf numFmtId="0" fontId="5" fillId="0" borderId="22" xfId="0" applyFont="1" applyBorder="1"/>
    <xf numFmtId="164" fontId="7" fillId="0" borderId="11" xfId="1" applyNumberFormat="1" applyFont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quotePrefix="1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164" fontId="4" fillId="3" borderId="22" xfId="0" applyNumberFormat="1" applyFont="1" applyFill="1" applyBorder="1" applyAlignment="1">
      <alignment horizontal="center" vertical="center"/>
    </xf>
    <xf numFmtId="164" fontId="5" fillId="3" borderId="22" xfId="0" applyNumberFormat="1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7" fillId="4" borderId="11" xfId="1" quotePrefix="1" applyFont="1" applyFill="1" applyBorder="1" applyAlignment="1">
      <alignment horizontal="center" vertical="center"/>
    </xf>
    <xf numFmtId="164" fontId="4" fillId="4" borderId="11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164" fontId="4" fillId="0" borderId="3" xfId="0" applyNumberFormat="1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6" fillId="0" borderId="11" xfId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11" fillId="0" borderId="11" xfId="0" applyNumberFormat="1" applyFont="1" applyBorder="1" applyAlignment="1">
      <alignment horizontal="center" vertical="center"/>
    </xf>
    <xf numFmtId="0" fontId="5" fillId="0" borderId="20" xfId="0" quotePrefix="1" applyFont="1" applyBorder="1" applyAlignment="1">
      <alignment horizontal="left" vertical="center"/>
    </xf>
    <xf numFmtId="0" fontId="4" fillId="0" borderId="16" xfId="0" applyFont="1" applyFill="1" applyBorder="1" applyAlignment="1">
      <alignment horizontal="center" vertical="center"/>
    </xf>
    <xf numFmtId="0" fontId="4" fillId="0" borderId="16" xfId="0" quotePrefix="1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0" fontId="7" fillId="0" borderId="16" xfId="1" quotePrefix="1" applyFont="1" applyBorder="1" applyAlignment="1">
      <alignment horizontal="center" vertical="center"/>
    </xf>
    <xf numFmtId="164" fontId="4" fillId="0" borderId="16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64" fontId="4" fillId="0" borderId="11" xfId="0" applyNumberFormat="1" applyFont="1" applyFill="1" applyBorder="1" applyAlignment="1">
      <alignment horizontal="center" vertical="center"/>
    </xf>
    <xf numFmtId="0" fontId="6" fillId="0" borderId="7" xfId="1" quotePrefix="1" applyBorder="1" applyAlignment="1">
      <alignment horizontal="center" vertical="center"/>
    </xf>
    <xf numFmtId="0" fontId="6" fillId="0" borderId="7" xfId="1" quotePrefix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6" fillId="0" borderId="11" xfId="1" quotePrefix="1" applyBorder="1" applyAlignment="1">
      <alignment horizontal="center" vertical="center"/>
    </xf>
    <xf numFmtId="0" fontId="6" fillId="0" borderId="3" xfId="1" quotePrefix="1" applyBorder="1" applyAlignment="1">
      <alignment horizontal="center" vertical="center"/>
    </xf>
    <xf numFmtId="0" fontId="6" fillId="0" borderId="22" xfId="1" quotePrefix="1" applyBorder="1" applyAlignment="1">
      <alignment horizontal="center" vertical="center"/>
    </xf>
    <xf numFmtId="164" fontId="6" fillId="3" borderId="22" xfId="1" applyNumberFormat="1" applyFill="1" applyBorder="1" applyAlignment="1">
      <alignment horizontal="center" vertical="center"/>
    </xf>
    <xf numFmtId="0" fontId="4" fillId="0" borderId="22" xfId="0" applyFont="1" applyFill="1" applyBorder="1" applyAlignment="1">
      <alignment horizontal="center" vertical="center"/>
    </xf>
    <xf numFmtId="0" fontId="5" fillId="6" borderId="6" xfId="0" quotePrefix="1" applyFont="1" applyFill="1" applyBorder="1"/>
    <xf numFmtId="0" fontId="5" fillId="6" borderId="7" xfId="0" quotePrefix="1" applyFont="1" applyFill="1" applyBorder="1" applyAlignment="1">
      <alignment horizontal="center"/>
    </xf>
    <xf numFmtId="0" fontId="5" fillId="6" borderId="7" xfId="0" quotePrefix="1" applyFont="1" applyFill="1" applyBorder="1" applyAlignment="1">
      <alignment horizontal="center" vertical="center"/>
    </xf>
    <xf numFmtId="0" fontId="4" fillId="6" borderId="7" xfId="0" quotePrefix="1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5" fillId="6" borderId="6" xfId="0" quotePrefix="1" applyFont="1" applyFill="1" applyBorder="1" applyAlignment="1">
      <alignment horizontal="left"/>
    </xf>
    <xf numFmtId="0" fontId="5" fillId="6" borderId="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YAGEO-CC0603KRX7R8BB103_C327204.html" TargetMode="External"/><Relationship Id="rId13" Type="http://schemas.openxmlformats.org/officeDocument/2006/relationships/hyperlink" Target="https://www.lcsc.com/product-detail/Power-Inductors_TAI-TECH-HPC6045NF-4R7MTH_C304373.html" TargetMode="External"/><Relationship Id="rId18" Type="http://schemas.openxmlformats.org/officeDocument/2006/relationships/hyperlink" Target="https://www.lcsc.com/product-detail/Chip-Resistor-Surface-Mount_FH-Guangdong-Fenghua-Advanced-Tech-RS-03K1001FT_C115325.html" TargetMode="External"/><Relationship Id="rId3" Type="http://schemas.openxmlformats.org/officeDocument/2006/relationships/hyperlink" Target="https://www.lcsc.com/product-detail/Multilayer-Ceramic-Capacitors-MLCC-SMD-SMT_FH-Guangdong-Fenghua-Advanced-Tech-0805X226M100NT_C503482.html" TargetMode="External"/><Relationship Id="rId21" Type="http://schemas.openxmlformats.org/officeDocument/2006/relationships/hyperlink" Target="https://www.lcsc.com/product-detail/Chip-Resistor-Surface-Mount_Ever-Ohms-Tech-CR1206FR050P05R_C149662.html" TargetMode="External"/><Relationship Id="rId7" Type="http://schemas.openxmlformats.org/officeDocument/2006/relationships/hyperlink" Target="https://www.lcsc.com/product-detail/Tantalum-Capacitors_KEMET-T495D157K010ATE100_C122324.html" TargetMode="External"/><Relationship Id="rId12" Type="http://schemas.openxmlformats.org/officeDocument/2006/relationships/hyperlink" Target="https://www.lcsc.com/product-detail/Resettable-Fuses_Brightking-Elec-TAIWAN-SMD1206B200TF_C269122.html" TargetMode="External"/><Relationship Id="rId17" Type="http://schemas.openxmlformats.org/officeDocument/2006/relationships/hyperlink" Target="https://www.lcsc.com/product-detail/Current-Sense-Resistors-Shunt-Resistors_Milliohm-LR2512D-2W-1mR-1_C500612.html" TargetMode="External"/><Relationship Id="rId2" Type="http://schemas.openxmlformats.org/officeDocument/2006/relationships/hyperlink" Target="https://www.lcsc.com/product-detail/Multilayer-Ceramic-Capacitors-MLCC-SMD-SMT_YAGEO-CC0603KRX7R6BB104_C519438.html" TargetMode="External"/><Relationship Id="rId16" Type="http://schemas.openxmlformats.org/officeDocument/2006/relationships/hyperlink" Target="https://www.lcsc.com/product-detail/MOSFETs_MCC-Micro-Commercial-Components-SI2302-TP_C77977.html" TargetMode="External"/><Relationship Id="rId20" Type="http://schemas.openxmlformats.org/officeDocument/2006/relationships/hyperlink" Target="https://www.lcsc.com/product-detail/Chip-Resistor-Surface-Mount_YAGEO-RC0603FR-0733KL_C126359.html" TargetMode="External"/><Relationship Id="rId1" Type="http://schemas.openxmlformats.org/officeDocument/2006/relationships/hyperlink" Target="https://www.lcsc.com/product-detail/Multilayer-Ceramic-Capacitors-MLCC-SMD-SMT_FH-Guangdong-Fenghua-Advanced-Tech-0402B104K500NT_C110251.html" TargetMode="External"/><Relationship Id="rId6" Type="http://schemas.openxmlformats.org/officeDocument/2006/relationships/hyperlink" Target="https://www.lcsc.com/product-detail/Multilayer-Ceramic-Capacitors-MLCC-SMD-SMT_Walsin-Tech-Corp-0402X104K250CT_C237172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5" Type="http://schemas.openxmlformats.org/officeDocument/2006/relationships/hyperlink" Target="https://www.lcsc.com/product-detail/Multilayer-Ceramic-Capacitors-MLCC-SMD-SMT_TDK-CGA3E2C0G1H101JT0Y0N_C76709.html" TargetMode="External"/><Relationship Id="rId15" Type="http://schemas.openxmlformats.org/officeDocument/2006/relationships/hyperlink" Target="https://www.lcsc.com/product-detail/Inductors-SMD_microgate-MGFL2012F100MT-LF_C281113.html" TargetMode="External"/><Relationship Id="rId10" Type="http://schemas.openxmlformats.org/officeDocument/2006/relationships/hyperlink" Target="https://www.lcsc.com/product-detail/Multilayer-Ceramic-Capacitors-MLCC-SMD-SMT_PSA-Prosperity-Dielectrics-FN18N220J500PSG_C525244.html" TargetMode="External"/><Relationship Id="rId19" Type="http://schemas.openxmlformats.org/officeDocument/2006/relationships/hyperlink" Target="https://www.lcsc.com/product-detail/Chip-Resistor-Surface-Mount_FH-Guangdong-Fenghua-Advanced-Tech-RS-03K1001FT_C115325.html" TargetMode="External"/><Relationship Id="rId4" Type="http://schemas.openxmlformats.org/officeDocument/2006/relationships/hyperlink" Target="https://www.lcsc.com/product-detail/Tantalum-Capacitors_TANCAP-Tech-CA45-106K010AT_C327722.html" TargetMode="External"/><Relationship Id="rId9" Type="http://schemas.openxmlformats.org/officeDocument/2006/relationships/hyperlink" Target="https://www.lcsc.com/product-detail/Multilayer-Ceramic-Capacitors-MLCC-SMD-SMT_FH-Guangdong-Fenghua-Advanced-Tech-0603F105M250NT_C36577.html" TargetMode="External"/><Relationship Id="rId14" Type="http://schemas.openxmlformats.org/officeDocument/2006/relationships/hyperlink" Target="https://www.lcsc.com/product-detail/Power-Inductors_PSA-Prosperity-Dielectrics-MCS1040-1R0MN1_C559447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1"/>
  <sheetViews>
    <sheetView tabSelected="1" topLeftCell="O2" zoomScale="98" zoomScaleNormal="98" workbookViewId="0">
      <selection activeCell="R16" sqref="R16"/>
    </sheetView>
  </sheetViews>
  <sheetFormatPr defaultRowHeight="15" x14ac:dyDescent="0.25"/>
  <cols>
    <col min="1" max="1" width="6.140625" style="40" bestFit="1" customWidth="1"/>
    <col min="2" max="2" width="14.42578125" customWidth="1"/>
    <col min="3" max="3" width="47.5703125" customWidth="1"/>
    <col min="4" max="4" width="41" bestFit="1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21.5703125" bestFit="1" customWidth="1"/>
    <col min="10" max="10" width="9" bestFit="1" customWidth="1"/>
    <col min="11" max="11" width="11.5703125" bestFit="1" customWidth="1"/>
    <col min="12" max="12" width="21.85546875" bestFit="1" customWidth="1"/>
    <col min="13" max="13" width="12.85546875" bestFit="1" customWidth="1"/>
    <col min="14" max="14" width="12.85546875" customWidth="1"/>
    <col min="15" max="15" width="14.140625" bestFit="1" customWidth="1"/>
    <col min="16" max="16" width="15.28515625" bestFit="1" customWidth="1"/>
    <col min="17" max="17" width="16.42578125" bestFit="1" customWidth="1"/>
    <col min="18" max="18" width="10.28515625" bestFit="1" customWidth="1"/>
    <col min="19" max="19" width="12.7109375" bestFit="1" customWidth="1"/>
    <col min="20" max="20" width="13.42578125" bestFit="1" customWidth="1"/>
    <col min="21" max="21" width="22.28515625" bestFit="1" customWidth="1"/>
    <col min="22" max="22" width="15.42578125" bestFit="1" customWidth="1"/>
    <col min="23" max="23" width="23.42578125" bestFit="1" customWidth="1"/>
    <col min="24" max="24" width="16.5703125" bestFit="1" customWidth="1"/>
    <col min="25" max="25" width="24.5703125" bestFit="1" customWidth="1"/>
    <col min="26" max="26" width="17.85546875" bestFit="1" customWidth="1"/>
    <col min="27" max="27" width="24.5703125" bestFit="1" customWidth="1"/>
    <col min="28" max="28" width="19.140625" bestFit="1" customWidth="1"/>
    <col min="29" max="29" width="49.28515625" bestFit="1" customWidth="1"/>
  </cols>
  <sheetData>
    <row r="1" spans="1:31" ht="16.5" thickBot="1" x14ac:dyDescent="0.3">
      <c r="A1" s="81" t="s">
        <v>48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</row>
    <row r="2" spans="1:31" ht="16.5" thickBot="1" x14ac:dyDescent="0.3">
      <c r="A2" s="44" t="s">
        <v>0</v>
      </c>
      <c r="B2" s="53" t="s">
        <v>1</v>
      </c>
      <c r="C2" s="54" t="s">
        <v>2</v>
      </c>
      <c r="D2" s="54" t="s">
        <v>3</v>
      </c>
      <c r="E2" s="54" t="s">
        <v>4</v>
      </c>
      <c r="F2" s="54" t="s">
        <v>5</v>
      </c>
      <c r="G2" s="54" t="s">
        <v>6</v>
      </c>
      <c r="H2" s="54" t="s">
        <v>7</v>
      </c>
      <c r="I2" s="54" t="s">
        <v>8</v>
      </c>
      <c r="J2" s="54" t="s">
        <v>9</v>
      </c>
      <c r="K2" s="54" t="s">
        <v>10</v>
      </c>
      <c r="L2" s="54" t="s">
        <v>11</v>
      </c>
      <c r="M2" s="54" t="s">
        <v>227</v>
      </c>
      <c r="N2" s="54" t="s">
        <v>228</v>
      </c>
      <c r="O2" s="54" t="s">
        <v>229</v>
      </c>
      <c r="P2" s="54" t="s">
        <v>230</v>
      </c>
      <c r="Q2" s="54" t="s">
        <v>231</v>
      </c>
      <c r="R2" s="55" t="s">
        <v>47</v>
      </c>
      <c r="S2" s="50" t="s">
        <v>232</v>
      </c>
      <c r="T2" s="50" t="s">
        <v>233</v>
      </c>
      <c r="U2" s="50" t="s">
        <v>236</v>
      </c>
      <c r="V2" s="51" t="s">
        <v>237</v>
      </c>
      <c r="W2" s="50" t="s">
        <v>238</v>
      </c>
      <c r="X2" s="51" t="s">
        <v>239</v>
      </c>
      <c r="Y2" s="50" t="s">
        <v>240</v>
      </c>
      <c r="Z2" s="51" t="s">
        <v>241</v>
      </c>
      <c r="AA2" s="50" t="s">
        <v>242</v>
      </c>
      <c r="AB2" s="51" t="s">
        <v>243</v>
      </c>
      <c r="AC2" s="54" t="s">
        <v>12</v>
      </c>
    </row>
    <row r="3" spans="1:31" ht="15.75" thickBot="1" x14ac:dyDescent="0.3">
      <c r="A3" s="52">
        <v>1</v>
      </c>
      <c r="B3" s="84" t="s">
        <v>13</v>
      </c>
      <c r="C3" s="87" t="s">
        <v>49</v>
      </c>
      <c r="D3" s="88" t="s">
        <v>281</v>
      </c>
      <c r="E3" s="89" t="s">
        <v>50</v>
      </c>
      <c r="F3" s="28" t="s">
        <v>51</v>
      </c>
      <c r="G3" s="2" t="s">
        <v>52</v>
      </c>
      <c r="H3" s="76" t="s">
        <v>234</v>
      </c>
      <c r="I3" s="74" t="s">
        <v>235</v>
      </c>
      <c r="J3" s="2" t="s">
        <v>14</v>
      </c>
      <c r="K3" s="4">
        <v>50</v>
      </c>
      <c r="L3" s="127">
        <v>1</v>
      </c>
      <c r="M3" s="4">
        <v>50</v>
      </c>
      <c r="N3" s="4">
        <v>50</v>
      </c>
      <c r="O3" s="4">
        <v>550</v>
      </c>
      <c r="P3" s="4">
        <v>1100</v>
      </c>
      <c r="Q3" s="4">
        <v>10500</v>
      </c>
      <c r="R3" s="138" t="s">
        <v>15</v>
      </c>
      <c r="S3" s="56">
        <v>7.3000000000000001E-3</v>
      </c>
      <c r="T3" s="6">
        <f>S3*M3</f>
        <v>0.36499999999999999</v>
      </c>
      <c r="U3" s="56">
        <v>7.3000000000000001E-3</v>
      </c>
      <c r="V3" s="6">
        <f>U3*N3</f>
        <v>0.36499999999999999</v>
      </c>
      <c r="W3" s="6">
        <v>5.4000000000000003E-3</v>
      </c>
      <c r="X3" s="6">
        <f>W3*O3</f>
        <v>2.97</v>
      </c>
      <c r="Y3" s="6">
        <v>5.4000000000000003E-3</v>
      </c>
      <c r="Z3" s="6">
        <f>Y3*P3</f>
        <v>5.94</v>
      </c>
      <c r="AA3" s="6">
        <v>4.4999999999999997E-3</v>
      </c>
      <c r="AB3" s="6">
        <f>AA3*Q3</f>
        <v>47.249999999999993</v>
      </c>
      <c r="AC3" s="7"/>
      <c r="AD3" s="8"/>
      <c r="AE3" s="8"/>
    </row>
    <row r="4" spans="1:31" ht="39.75" thickBot="1" x14ac:dyDescent="0.3">
      <c r="A4" s="52">
        <v>2</v>
      </c>
      <c r="B4" s="83"/>
      <c r="C4" s="90" t="s">
        <v>53</v>
      </c>
      <c r="D4" s="91" t="s">
        <v>54</v>
      </c>
      <c r="E4" s="92" t="s">
        <v>55</v>
      </c>
      <c r="F4" s="16" t="s">
        <v>56</v>
      </c>
      <c r="G4" s="9" t="s">
        <v>57</v>
      </c>
      <c r="H4" s="66" t="s">
        <v>244</v>
      </c>
      <c r="I4" s="66" t="s">
        <v>245</v>
      </c>
      <c r="J4" s="9" t="s">
        <v>246</v>
      </c>
      <c r="K4" s="11">
        <v>50</v>
      </c>
      <c r="L4" s="11">
        <v>21</v>
      </c>
      <c r="M4" s="4">
        <v>250</v>
      </c>
      <c r="N4" s="4">
        <v>500</v>
      </c>
      <c r="O4" s="4">
        <v>11000</v>
      </c>
      <c r="P4" s="4">
        <v>22000</v>
      </c>
      <c r="Q4" s="4">
        <v>220000</v>
      </c>
      <c r="R4" s="139" t="s">
        <v>15</v>
      </c>
      <c r="S4" s="57">
        <v>5.7000000000000002E-3</v>
      </c>
      <c r="T4" s="13">
        <f>S4*M4</f>
        <v>1.425</v>
      </c>
      <c r="U4" s="58">
        <v>4.5999999999999999E-3</v>
      </c>
      <c r="V4" s="13">
        <f>U4*N4</f>
        <v>2.2999999999999998</v>
      </c>
      <c r="W4" s="13">
        <v>4.1999999999999997E-3</v>
      </c>
      <c r="X4" s="6">
        <f t="shared" ref="X4:X52" si="0">W4*O4</f>
        <v>46.199999999999996</v>
      </c>
      <c r="Y4" s="13">
        <v>4.1999999999999997E-3</v>
      </c>
      <c r="Z4" s="6">
        <f t="shared" ref="Z4:Z52" si="1">Y4*P4</f>
        <v>92.399999999999991</v>
      </c>
      <c r="AA4" s="13">
        <v>4.0000000000000001E-3</v>
      </c>
      <c r="AB4" s="6">
        <f t="shared" ref="AB4:AB52" si="2">AA4*Q4</f>
        <v>880</v>
      </c>
      <c r="AC4" s="14"/>
      <c r="AD4" s="8"/>
      <c r="AE4" s="8"/>
    </row>
    <row r="5" spans="1:31" ht="15.75" thickBot="1" x14ac:dyDescent="0.3">
      <c r="A5" s="52">
        <v>3</v>
      </c>
      <c r="B5" s="83"/>
      <c r="C5" s="93" t="s">
        <v>58</v>
      </c>
      <c r="D5" s="94" t="s">
        <v>59</v>
      </c>
      <c r="E5" s="92" t="s">
        <v>60</v>
      </c>
      <c r="F5" s="16" t="s">
        <v>61</v>
      </c>
      <c r="G5" s="9" t="s">
        <v>247</v>
      </c>
      <c r="H5" s="66" t="s">
        <v>248</v>
      </c>
      <c r="I5" s="67" t="s">
        <v>245</v>
      </c>
      <c r="J5" s="9" t="s">
        <v>17</v>
      </c>
      <c r="K5" s="11">
        <v>20</v>
      </c>
      <c r="L5" s="128">
        <v>5</v>
      </c>
      <c r="M5" s="4">
        <v>60</v>
      </c>
      <c r="N5" s="4">
        <v>120</v>
      </c>
      <c r="O5" s="4">
        <v>2650</v>
      </c>
      <c r="P5" s="4">
        <v>5300</v>
      </c>
      <c r="Q5" s="4">
        <v>52000</v>
      </c>
      <c r="R5" s="139" t="s">
        <v>15</v>
      </c>
      <c r="S5" s="57">
        <v>3.1800000000000002E-2</v>
      </c>
      <c r="T5" s="13">
        <f t="shared" ref="T5:T52" si="3">S5*M5</f>
        <v>1.9080000000000001</v>
      </c>
      <c r="U5" s="57">
        <v>3.1800000000000002E-2</v>
      </c>
      <c r="V5" s="13">
        <f t="shared" ref="V5:V52" si="4">U5*N5</f>
        <v>3.8160000000000003</v>
      </c>
      <c r="W5" s="13">
        <v>1.9800000000000002E-2</v>
      </c>
      <c r="X5" s="6">
        <f t="shared" si="0"/>
        <v>52.470000000000006</v>
      </c>
      <c r="Y5" s="13">
        <v>1.9800000000000002E-2</v>
      </c>
      <c r="Z5" s="6">
        <f t="shared" si="1"/>
        <v>104.94000000000001</v>
      </c>
      <c r="AA5" s="13">
        <v>1.8800000000000001E-2</v>
      </c>
      <c r="AB5" s="6">
        <f t="shared" si="2"/>
        <v>977.6</v>
      </c>
      <c r="AC5" s="14"/>
      <c r="AD5" s="8"/>
      <c r="AE5" s="8"/>
    </row>
    <row r="6" spans="1:31" ht="15.75" thickBot="1" x14ac:dyDescent="0.3">
      <c r="A6" s="52">
        <v>4</v>
      </c>
      <c r="B6" s="83"/>
      <c r="C6" s="93" t="s">
        <v>62</v>
      </c>
      <c r="D6" s="94" t="s">
        <v>63</v>
      </c>
      <c r="E6" s="92" t="s">
        <v>64</v>
      </c>
      <c r="F6" s="16" t="s">
        <v>65</v>
      </c>
      <c r="G6" s="9" t="s">
        <v>249</v>
      </c>
      <c r="H6" s="66" t="s">
        <v>250</v>
      </c>
      <c r="I6" s="67" t="s">
        <v>245</v>
      </c>
      <c r="J6" s="9" t="s">
        <v>18</v>
      </c>
      <c r="K6" s="11">
        <v>5</v>
      </c>
      <c r="L6" s="128">
        <v>2</v>
      </c>
      <c r="M6" s="4">
        <v>25</v>
      </c>
      <c r="N6" s="4">
        <v>45</v>
      </c>
      <c r="O6" s="4">
        <v>1050</v>
      </c>
      <c r="P6" s="4">
        <v>2100</v>
      </c>
      <c r="Q6" s="4">
        <v>21000</v>
      </c>
      <c r="R6" s="183" t="s">
        <v>15</v>
      </c>
      <c r="S6" s="140">
        <v>0.1075</v>
      </c>
      <c r="T6" s="13">
        <f t="shared" si="3"/>
        <v>2.6875</v>
      </c>
      <c r="U6" s="140">
        <v>0.1075</v>
      </c>
      <c r="V6" s="13">
        <f t="shared" si="4"/>
        <v>4.8375000000000004</v>
      </c>
      <c r="W6" s="13">
        <v>7.6700000000000004E-2</v>
      </c>
      <c r="X6" s="6">
        <f t="shared" si="0"/>
        <v>80.535000000000011</v>
      </c>
      <c r="Y6" s="13">
        <v>7.6700000000000004E-2</v>
      </c>
      <c r="Z6" s="6">
        <f t="shared" si="1"/>
        <v>161.07000000000002</v>
      </c>
      <c r="AA6" s="13">
        <v>7.3899999999999993E-2</v>
      </c>
      <c r="AB6" s="6">
        <f t="shared" si="2"/>
        <v>1551.8999999999999</v>
      </c>
      <c r="AC6" s="14"/>
      <c r="AD6" s="8"/>
      <c r="AE6" s="8"/>
    </row>
    <row r="7" spans="1:31" ht="15.75" thickBot="1" x14ac:dyDescent="0.3">
      <c r="A7" s="52">
        <v>5</v>
      </c>
      <c r="B7" s="83"/>
      <c r="C7" s="93" t="s">
        <v>66</v>
      </c>
      <c r="D7" s="94" t="s">
        <v>67</v>
      </c>
      <c r="E7" s="92" t="s">
        <v>55</v>
      </c>
      <c r="F7" s="16" t="s">
        <v>68</v>
      </c>
      <c r="G7" s="9" t="s">
        <v>69</v>
      </c>
      <c r="H7" s="66" t="s">
        <v>251</v>
      </c>
      <c r="I7" s="67" t="s">
        <v>245</v>
      </c>
      <c r="J7" s="15" t="s">
        <v>252</v>
      </c>
      <c r="K7" s="68">
        <v>50</v>
      </c>
      <c r="L7" s="128">
        <v>1</v>
      </c>
      <c r="M7" s="4">
        <v>50</v>
      </c>
      <c r="N7" s="4">
        <v>50</v>
      </c>
      <c r="O7" s="4">
        <v>550</v>
      </c>
      <c r="P7" s="4">
        <v>1050</v>
      </c>
      <c r="Q7" s="4">
        <v>10500</v>
      </c>
      <c r="R7" s="183" t="s">
        <v>15</v>
      </c>
      <c r="S7" s="69">
        <v>1.5900000000000001E-2</v>
      </c>
      <c r="T7" s="13">
        <f t="shared" si="3"/>
        <v>0.79500000000000004</v>
      </c>
      <c r="U7" s="69">
        <v>1.5900000000000001E-2</v>
      </c>
      <c r="V7" s="13">
        <f t="shared" si="4"/>
        <v>0.79500000000000004</v>
      </c>
      <c r="W7" s="70">
        <v>1.21E-2</v>
      </c>
      <c r="X7" s="6">
        <f t="shared" si="0"/>
        <v>6.6549999999999994</v>
      </c>
      <c r="Y7" s="70">
        <v>1.21E-2</v>
      </c>
      <c r="Z7" s="6">
        <f t="shared" si="1"/>
        <v>12.705</v>
      </c>
      <c r="AA7" s="70">
        <v>1.0200000000000001E-2</v>
      </c>
      <c r="AB7" s="6">
        <f t="shared" si="2"/>
        <v>107.10000000000001</v>
      </c>
      <c r="AC7" s="37"/>
      <c r="AD7" s="8"/>
      <c r="AE7" s="8"/>
    </row>
    <row r="8" spans="1:31" ht="15.75" thickBot="1" x14ac:dyDescent="0.3">
      <c r="A8" s="52">
        <v>6</v>
      </c>
      <c r="B8" s="83"/>
      <c r="C8" s="196" t="s">
        <v>70</v>
      </c>
      <c r="D8" s="192" t="s">
        <v>71</v>
      </c>
      <c r="E8" s="192" t="s">
        <v>60</v>
      </c>
      <c r="F8" s="193" t="s">
        <v>72</v>
      </c>
      <c r="G8" s="194" t="s">
        <v>73</v>
      </c>
      <c r="H8" s="195" t="s">
        <v>253</v>
      </c>
      <c r="I8" s="193" t="s">
        <v>245</v>
      </c>
      <c r="J8" s="194" t="s">
        <v>246</v>
      </c>
      <c r="K8" s="197">
        <v>100</v>
      </c>
      <c r="L8" s="128">
        <v>1</v>
      </c>
      <c r="M8" s="4">
        <v>100</v>
      </c>
      <c r="N8" s="4">
        <v>100</v>
      </c>
      <c r="O8" s="4">
        <v>600</v>
      </c>
      <c r="P8" s="4">
        <v>1100</v>
      </c>
      <c r="Q8" s="4">
        <v>10500</v>
      </c>
      <c r="R8" s="183" t="s">
        <v>15</v>
      </c>
      <c r="S8" s="57">
        <v>2.5999999999999999E-3</v>
      </c>
      <c r="T8" s="13">
        <f t="shared" si="3"/>
        <v>0.26</v>
      </c>
      <c r="U8" s="57">
        <v>2.5999999999999999E-3</v>
      </c>
      <c r="V8" s="13">
        <f t="shared" si="4"/>
        <v>0.26</v>
      </c>
      <c r="W8" s="13">
        <v>2.5999999999999999E-3</v>
      </c>
      <c r="X8" s="6">
        <f t="shared" si="0"/>
        <v>1.5599999999999998</v>
      </c>
      <c r="Y8" s="13">
        <v>1.9E-3</v>
      </c>
      <c r="Z8" s="6">
        <f t="shared" si="1"/>
        <v>2.09</v>
      </c>
      <c r="AA8" s="13">
        <v>1.6000000000000001E-3</v>
      </c>
      <c r="AB8" s="6">
        <f t="shared" si="2"/>
        <v>16.8</v>
      </c>
      <c r="AC8" s="14"/>
      <c r="AD8" s="8"/>
      <c r="AE8" s="8"/>
    </row>
    <row r="9" spans="1:31" ht="15.75" thickBot="1" x14ac:dyDescent="0.3">
      <c r="A9" s="52">
        <v>7</v>
      </c>
      <c r="B9" s="83"/>
      <c r="C9" s="93" t="s">
        <v>74</v>
      </c>
      <c r="D9" s="94" t="s">
        <v>75</v>
      </c>
      <c r="E9" s="92" t="s">
        <v>76</v>
      </c>
      <c r="F9" s="16" t="s">
        <v>77</v>
      </c>
      <c r="G9" s="9" t="s">
        <v>20</v>
      </c>
      <c r="H9" s="66" t="s">
        <v>254</v>
      </c>
      <c r="I9" s="66" t="s">
        <v>245</v>
      </c>
      <c r="J9" s="9" t="s">
        <v>255</v>
      </c>
      <c r="K9" s="11">
        <v>1</v>
      </c>
      <c r="L9" s="128">
        <v>1</v>
      </c>
      <c r="M9" s="4">
        <f t="shared" ref="M9:M40" si="5">ROUND(L9*10*1.15,0)</f>
        <v>12</v>
      </c>
      <c r="N9" s="4">
        <f t="shared" ref="N9:N40" si="6">ROUND(L9*20*1.15,0)</f>
        <v>23</v>
      </c>
      <c r="O9" s="4">
        <v>525</v>
      </c>
      <c r="P9" s="4">
        <v>1050</v>
      </c>
      <c r="Q9" s="4">
        <v>10200</v>
      </c>
      <c r="R9" s="183" t="s">
        <v>15</v>
      </c>
      <c r="S9" s="58">
        <v>0.76459999999999995</v>
      </c>
      <c r="T9" s="13">
        <f t="shared" si="3"/>
        <v>9.1752000000000002</v>
      </c>
      <c r="U9" s="58">
        <v>0.76459999999999995</v>
      </c>
      <c r="V9" s="13">
        <f t="shared" si="4"/>
        <v>17.585799999999999</v>
      </c>
      <c r="W9" s="13">
        <v>0.66549999999999998</v>
      </c>
      <c r="X9" s="6">
        <f t="shared" si="0"/>
        <v>349.38749999999999</v>
      </c>
      <c r="Y9" s="13">
        <v>0.65639999999999998</v>
      </c>
      <c r="Z9" s="6">
        <f t="shared" si="1"/>
        <v>689.22</v>
      </c>
      <c r="AA9" s="13">
        <v>0.65639999999999998</v>
      </c>
      <c r="AB9" s="6">
        <f t="shared" si="2"/>
        <v>6695.28</v>
      </c>
      <c r="AC9" s="14"/>
      <c r="AD9" s="8"/>
      <c r="AE9" s="8"/>
    </row>
    <row r="10" spans="1:31" ht="15.75" thickBot="1" x14ac:dyDescent="0.3">
      <c r="A10" s="52">
        <v>8</v>
      </c>
      <c r="B10" s="83"/>
      <c r="C10" s="93" t="s">
        <v>78</v>
      </c>
      <c r="D10" s="94" t="s">
        <v>79</v>
      </c>
      <c r="E10" s="92" t="s">
        <v>60</v>
      </c>
      <c r="F10" s="16" t="s">
        <v>80</v>
      </c>
      <c r="G10" s="95" t="s">
        <v>81</v>
      </c>
      <c r="H10" s="66" t="s">
        <v>256</v>
      </c>
      <c r="I10" s="77"/>
      <c r="J10" s="33" t="s">
        <v>259</v>
      </c>
      <c r="K10" s="36">
        <v>50</v>
      </c>
      <c r="L10" s="128">
        <v>1</v>
      </c>
      <c r="M10" s="4">
        <v>50</v>
      </c>
      <c r="N10" s="4">
        <v>50</v>
      </c>
      <c r="O10" s="4">
        <v>550</v>
      </c>
      <c r="P10" s="4">
        <v>1100</v>
      </c>
      <c r="Q10" s="4">
        <v>10500</v>
      </c>
      <c r="R10" s="184" t="s">
        <v>15</v>
      </c>
      <c r="S10" s="62">
        <v>4.8999999999999998E-3</v>
      </c>
      <c r="T10" s="13">
        <f t="shared" si="3"/>
        <v>0.245</v>
      </c>
      <c r="U10" s="64">
        <v>4.8999999999999998E-3</v>
      </c>
      <c r="V10" s="13">
        <f t="shared" si="4"/>
        <v>0.245</v>
      </c>
      <c r="W10" s="63">
        <v>3.8999999999999998E-3</v>
      </c>
      <c r="X10" s="6">
        <f t="shared" si="0"/>
        <v>2.145</v>
      </c>
      <c r="Y10" s="63">
        <v>3.8999999999999998E-3</v>
      </c>
      <c r="Z10" s="6">
        <f t="shared" si="1"/>
        <v>4.29</v>
      </c>
      <c r="AA10" s="63">
        <v>3.5999999999999999E-3</v>
      </c>
      <c r="AB10" s="6">
        <f t="shared" si="2"/>
        <v>37.799999999999997</v>
      </c>
      <c r="AC10" s="65"/>
      <c r="AD10" s="8"/>
      <c r="AE10" s="8"/>
    </row>
    <row r="11" spans="1:31" ht="15.75" thickBot="1" x14ac:dyDescent="0.3">
      <c r="A11" s="52">
        <v>9</v>
      </c>
      <c r="B11" s="83"/>
      <c r="C11" s="93" t="s">
        <v>82</v>
      </c>
      <c r="D11" s="96" t="s">
        <v>83</v>
      </c>
      <c r="E11" s="92" t="s">
        <v>55</v>
      </c>
      <c r="F11" s="16" t="s">
        <v>84</v>
      </c>
      <c r="G11" s="9" t="s">
        <v>85</v>
      </c>
      <c r="H11" s="66" t="s">
        <v>258</v>
      </c>
      <c r="I11" s="185" t="s">
        <v>257</v>
      </c>
      <c r="J11" s="33" t="s">
        <v>16</v>
      </c>
      <c r="K11" s="36">
        <v>50</v>
      </c>
      <c r="L11" s="128">
        <v>1</v>
      </c>
      <c r="M11" s="4">
        <v>50</v>
      </c>
      <c r="N11" s="4">
        <v>50</v>
      </c>
      <c r="O11" s="4">
        <v>600</v>
      </c>
      <c r="P11" s="4">
        <v>1050</v>
      </c>
      <c r="Q11" s="4">
        <v>10500</v>
      </c>
      <c r="R11" s="184" t="s">
        <v>15</v>
      </c>
      <c r="S11" s="62">
        <v>6.4999999999999997E-3</v>
      </c>
      <c r="T11" s="13">
        <f t="shared" si="3"/>
        <v>0.32500000000000001</v>
      </c>
      <c r="U11" s="64">
        <v>6.4999999999999997E-3</v>
      </c>
      <c r="V11" s="13">
        <f t="shared" si="4"/>
        <v>0.32500000000000001</v>
      </c>
      <c r="W11" s="63">
        <v>5.0000000000000001E-3</v>
      </c>
      <c r="X11" s="6">
        <f t="shared" si="0"/>
        <v>3</v>
      </c>
      <c r="Y11" s="63">
        <v>5.0000000000000001E-3</v>
      </c>
      <c r="Z11" s="6">
        <f t="shared" si="1"/>
        <v>5.25</v>
      </c>
      <c r="AA11" s="63">
        <v>4.1000000000000003E-3</v>
      </c>
      <c r="AB11" s="6">
        <f t="shared" si="2"/>
        <v>43.050000000000004</v>
      </c>
      <c r="AC11" s="65"/>
      <c r="AD11" s="8"/>
      <c r="AE11" s="8"/>
    </row>
    <row r="12" spans="1:31" ht="15.75" thickBot="1" x14ac:dyDescent="0.3">
      <c r="A12" s="52">
        <v>10</v>
      </c>
      <c r="B12" s="85"/>
      <c r="C12" s="97" t="s">
        <v>86</v>
      </c>
      <c r="D12" s="98" t="s">
        <v>87</v>
      </c>
      <c r="E12" s="99" t="s">
        <v>55</v>
      </c>
      <c r="F12" s="22" t="s">
        <v>88</v>
      </c>
      <c r="G12" s="100" t="s">
        <v>260</v>
      </c>
      <c r="H12" s="143" t="s">
        <v>261</v>
      </c>
      <c r="I12" s="73" t="s">
        <v>245</v>
      </c>
      <c r="J12" s="20" t="s">
        <v>262</v>
      </c>
      <c r="K12" s="23">
        <v>100</v>
      </c>
      <c r="L12" s="129">
        <v>2</v>
      </c>
      <c r="M12" s="4">
        <v>100</v>
      </c>
      <c r="N12" s="4">
        <v>100</v>
      </c>
      <c r="O12" s="4">
        <v>1200</v>
      </c>
      <c r="P12" s="4">
        <v>2200</v>
      </c>
      <c r="Q12" s="4">
        <v>21000</v>
      </c>
      <c r="R12" s="186" t="s">
        <v>15</v>
      </c>
      <c r="S12" s="61">
        <v>3.0999999999999999E-3</v>
      </c>
      <c r="T12" s="13">
        <f t="shared" si="3"/>
        <v>0.31</v>
      </c>
      <c r="U12" s="61">
        <v>3.0999999999999999E-3</v>
      </c>
      <c r="V12" s="13">
        <f t="shared" si="4"/>
        <v>0.31</v>
      </c>
      <c r="W12" s="25">
        <v>2.3E-3</v>
      </c>
      <c r="X12" s="6">
        <f t="shared" si="0"/>
        <v>2.76</v>
      </c>
      <c r="Y12" s="25">
        <v>2.3E-3</v>
      </c>
      <c r="Z12" s="6">
        <f t="shared" si="1"/>
        <v>5.0599999999999996</v>
      </c>
      <c r="AA12" s="25">
        <v>2E-3</v>
      </c>
      <c r="AB12" s="6">
        <f t="shared" si="2"/>
        <v>42</v>
      </c>
      <c r="AC12" s="26"/>
      <c r="AD12" s="8"/>
      <c r="AE12" s="8"/>
    </row>
    <row r="13" spans="1:31" ht="15.75" thickBot="1" x14ac:dyDescent="0.3">
      <c r="A13" s="52">
        <v>11</v>
      </c>
      <c r="B13" s="84" t="s">
        <v>21</v>
      </c>
      <c r="C13" s="101" t="s">
        <v>89</v>
      </c>
      <c r="D13" s="88" t="s">
        <v>90</v>
      </c>
      <c r="E13" s="89" t="s">
        <v>23</v>
      </c>
      <c r="F13" s="28" t="s">
        <v>22</v>
      </c>
      <c r="G13" s="2" t="s">
        <v>91</v>
      </c>
      <c r="H13" s="76" t="s">
        <v>263</v>
      </c>
      <c r="I13" s="75" t="s">
        <v>245</v>
      </c>
      <c r="J13" s="2" t="s">
        <v>245</v>
      </c>
      <c r="K13" s="4">
        <v>10</v>
      </c>
      <c r="L13" s="3">
        <v>3</v>
      </c>
      <c r="M13" s="4">
        <v>40</v>
      </c>
      <c r="N13" s="4">
        <v>70</v>
      </c>
      <c r="O13" s="4">
        <v>1600</v>
      </c>
      <c r="P13" s="4">
        <v>3200</v>
      </c>
      <c r="Q13" s="4">
        <v>31500</v>
      </c>
      <c r="R13" s="187" t="s">
        <v>15</v>
      </c>
      <c r="S13" s="56">
        <v>6.5799999999999997E-2</v>
      </c>
      <c r="T13" s="13">
        <f t="shared" si="3"/>
        <v>2.6319999999999997</v>
      </c>
      <c r="U13" s="56">
        <v>6.5799999999999997E-2</v>
      </c>
      <c r="V13" s="13">
        <f t="shared" si="4"/>
        <v>4.6059999999999999</v>
      </c>
      <c r="W13" s="6">
        <v>4.0099999999999997E-2</v>
      </c>
      <c r="X13" s="6">
        <f t="shared" si="0"/>
        <v>64.16</v>
      </c>
      <c r="Y13" s="6">
        <v>4.0099999999999997E-2</v>
      </c>
      <c r="Z13" s="6">
        <f t="shared" si="1"/>
        <v>128.32</v>
      </c>
      <c r="AA13" s="6">
        <v>3.8300000000000001E-2</v>
      </c>
      <c r="AB13" s="6">
        <f t="shared" si="2"/>
        <v>1206.45</v>
      </c>
      <c r="AC13" s="29"/>
      <c r="AD13" s="8"/>
      <c r="AE13" s="8"/>
    </row>
    <row r="14" spans="1:31" ht="15.75" thickBot="1" x14ac:dyDescent="0.3">
      <c r="A14" s="52">
        <v>12</v>
      </c>
      <c r="B14" s="83"/>
      <c r="C14" s="102" t="s">
        <v>92</v>
      </c>
      <c r="D14" s="94" t="s">
        <v>93</v>
      </c>
      <c r="E14" s="92" t="s">
        <v>94</v>
      </c>
      <c r="F14" s="16" t="s">
        <v>95</v>
      </c>
      <c r="G14" s="9" t="s">
        <v>96</v>
      </c>
      <c r="H14" s="66"/>
      <c r="I14" s="67"/>
      <c r="J14" s="9"/>
      <c r="K14" s="11"/>
      <c r="L14" s="10">
        <v>3</v>
      </c>
      <c r="M14" s="4">
        <f t="shared" si="5"/>
        <v>35</v>
      </c>
      <c r="N14" s="4">
        <f t="shared" si="6"/>
        <v>69</v>
      </c>
      <c r="O14" s="4">
        <f t="shared" ref="O6:O40" si="7">ROUND(L14*500*1.15,0)</f>
        <v>1725</v>
      </c>
      <c r="P14" s="4">
        <f t="shared" ref="P4:P40" si="8">ROUND(L14*1000*1.15,0)</f>
        <v>3450</v>
      </c>
      <c r="Q14" s="4">
        <f t="shared" ref="Q4:Q40" si="9">ROUND(L14*10000*1.15,0)</f>
        <v>34500</v>
      </c>
      <c r="R14" s="17"/>
      <c r="S14" s="57"/>
      <c r="T14" s="13">
        <f t="shared" si="3"/>
        <v>0</v>
      </c>
      <c r="U14" s="57"/>
      <c r="V14" s="13">
        <f t="shared" si="4"/>
        <v>0</v>
      </c>
      <c r="W14" s="13"/>
      <c r="X14" s="6">
        <f t="shared" si="0"/>
        <v>0</v>
      </c>
      <c r="Y14" s="13"/>
      <c r="Z14" s="6">
        <f t="shared" si="1"/>
        <v>0</v>
      </c>
      <c r="AA14" s="13"/>
      <c r="AB14" s="6">
        <f t="shared" si="2"/>
        <v>0</v>
      </c>
      <c r="AC14" s="14"/>
      <c r="AD14" s="8"/>
      <c r="AE14" s="8"/>
    </row>
    <row r="15" spans="1:31" ht="15.75" thickBot="1" x14ac:dyDescent="0.3">
      <c r="A15" s="52">
        <v>13</v>
      </c>
      <c r="B15" s="85"/>
      <c r="C15" s="103" t="s">
        <v>97</v>
      </c>
      <c r="D15" s="98" t="s">
        <v>98</v>
      </c>
      <c r="E15" s="99" t="s">
        <v>99</v>
      </c>
      <c r="F15" s="22" t="s">
        <v>100</v>
      </c>
      <c r="G15" s="20" t="s">
        <v>101</v>
      </c>
      <c r="H15" s="72"/>
      <c r="I15" s="73"/>
      <c r="J15" s="20"/>
      <c r="K15" s="23"/>
      <c r="L15" s="21">
        <v>4</v>
      </c>
      <c r="M15" s="4">
        <f t="shared" si="5"/>
        <v>46</v>
      </c>
      <c r="N15" s="4">
        <f t="shared" si="6"/>
        <v>92</v>
      </c>
      <c r="O15" s="4">
        <f t="shared" si="7"/>
        <v>2300</v>
      </c>
      <c r="P15" s="4">
        <f t="shared" si="8"/>
        <v>4600</v>
      </c>
      <c r="Q15" s="4">
        <f t="shared" si="9"/>
        <v>46000</v>
      </c>
      <c r="R15" s="24"/>
      <c r="S15" s="61"/>
      <c r="T15" s="13">
        <f t="shared" si="3"/>
        <v>0</v>
      </c>
      <c r="U15" s="61"/>
      <c r="V15" s="13">
        <f t="shared" si="4"/>
        <v>0</v>
      </c>
      <c r="W15" s="25"/>
      <c r="X15" s="6">
        <f t="shared" si="0"/>
        <v>0</v>
      </c>
      <c r="Y15" s="25"/>
      <c r="Z15" s="6">
        <f t="shared" si="1"/>
        <v>0</v>
      </c>
      <c r="AA15" s="25"/>
      <c r="AB15" s="6">
        <f t="shared" si="2"/>
        <v>0</v>
      </c>
      <c r="AC15" s="26"/>
      <c r="AD15" s="8"/>
      <c r="AE15" s="8"/>
    </row>
    <row r="16" spans="1:31" ht="15.75" thickBot="1" x14ac:dyDescent="0.3">
      <c r="A16" s="52">
        <v>14</v>
      </c>
      <c r="B16" s="79" t="s">
        <v>102</v>
      </c>
      <c r="C16" s="108" t="s">
        <v>103</v>
      </c>
      <c r="D16" s="109" t="s">
        <v>104</v>
      </c>
      <c r="E16" s="149" t="s">
        <v>19</v>
      </c>
      <c r="F16" s="111" t="s">
        <v>105</v>
      </c>
      <c r="G16" s="112" t="s">
        <v>264</v>
      </c>
      <c r="H16" s="150" t="s">
        <v>265</v>
      </c>
      <c r="I16" s="151" t="s">
        <v>245</v>
      </c>
      <c r="J16" s="152" t="s">
        <v>245</v>
      </c>
      <c r="K16" s="153">
        <v>10</v>
      </c>
      <c r="L16" s="132">
        <v>2</v>
      </c>
      <c r="M16" s="4">
        <v>20</v>
      </c>
      <c r="N16" s="4">
        <v>50</v>
      </c>
      <c r="O16" s="4">
        <v>1050</v>
      </c>
      <c r="P16" s="4">
        <v>2100</v>
      </c>
      <c r="Q16" s="4">
        <v>21000</v>
      </c>
      <c r="R16" s="188" t="s">
        <v>15</v>
      </c>
      <c r="S16" s="154">
        <v>4.5499999999999999E-2</v>
      </c>
      <c r="T16" s="13">
        <f t="shared" si="3"/>
        <v>0.90999999999999992</v>
      </c>
      <c r="U16" s="154">
        <v>4.5499999999999999E-2</v>
      </c>
      <c r="V16" s="13">
        <f t="shared" si="4"/>
        <v>2.2749999999999999</v>
      </c>
      <c r="W16" s="155">
        <v>3.0599999999999999E-2</v>
      </c>
      <c r="X16" s="6">
        <f t="shared" si="0"/>
        <v>32.129999999999995</v>
      </c>
      <c r="Y16" s="155">
        <v>3.0599999999999999E-2</v>
      </c>
      <c r="Z16" s="6">
        <f t="shared" si="1"/>
        <v>64.259999999999991</v>
      </c>
      <c r="AA16" s="155">
        <v>2.93E-2</v>
      </c>
      <c r="AB16" s="6">
        <f t="shared" si="2"/>
        <v>615.29999999999995</v>
      </c>
      <c r="AC16" s="156"/>
      <c r="AD16" s="8"/>
      <c r="AE16" s="8"/>
    </row>
    <row r="17" spans="1:31" ht="15.75" thickBot="1" x14ac:dyDescent="0.3">
      <c r="A17" s="52">
        <v>15</v>
      </c>
      <c r="B17" s="84" t="s">
        <v>24</v>
      </c>
      <c r="C17" s="101" t="s">
        <v>106</v>
      </c>
      <c r="D17" s="88" t="s">
        <v>25</v>
      </c>
      <c r="E17" s="89" t="s">
        <v>107</v>
      </c>
      <c r="F17" s="28" t="s">
        <v>108</v>
      </c>
      <c r="G17" s="31" t="s">
        <v>266</v>
      </c>
      <c r="H17" s="1" t="s">
        <v>267</v>
      </c>
      <c r="I17" s="1" t="s">
        <v>245</v>
      </c>
      <c r="J17" s="27" t="s">
        <v>245</v>
      </c>
      <c r="K17" s="144">
        <v>5</v>
      </c>
      <c r="L17" s="127">
        <v>1</v>
      </c>
      <c r="M17" s="4">
        <v>10</v>
      </c>
      <c r="N17" s="4">
        <v>25</v>
      </c>
      <c r="O17" s="4">
        <v>525</v>
      </c>
      <c r="P17" s="4">
        <v>1050</v>
      </c>
      <c r="Q17" s="4">
        <v>10500</v>
      </c>
      <c r="R17" s="187" t="s">
        <v>15</v>
      </c>
      <c r="S17" s="146">
        <v>8.0799999999999997E-2</v>
      </c>
      <c r="T17" s="13">
        <f t="shared" si="3"/>
        <v>0.80799999999999994</v>
      </c>
      <c r="U17" s="146">
        <v>8.0799999999999997E-2</v>
      </c>
      <c r="V17" s="13">
        <f t="shared" si="4"/>
        <v>2.02</v>
      </c>
      <c r="W17" s="147">
        <v>5.4300000000000001E-2</v>
      </c>
      <c r="X17" s="6">
        <f t="shared" si="0"/>
        <v>28.5075</v>
      </c>
      <c r="Y17" s="147">
        <v>5.4300000000000001E-2</v>
      </c>
      <c r="Z17" s="6">
        <f t="shared" si="1"/>
        <v>57.015000000000001</v>
      </c>
      <c r="AA17" s="147">
        <v>5.1900000000000002E-2</v>
      </c>
      <c r="AB17" s="6">
        <f t="shared" si="2"/>
        <v>544.95000000000005</v>
      </c>
      <c r="AC17" s="148"/>
      <c r="AD17" s="8"/>
      <c r="AE17" s="8"/>
    </row>
    <row r="18" spans="1:31" ht="15.75" thickBot="1" x14ac:dyDescent="0.3">
      <c r="A18" s="52">
        <v>16</v>
      </c>
      <c r="B18" s="83"/>
      <c r="C18" s="107" t="s">
        <v>109</v>
      </c>
      <c r="D18" s="94" t="s">
        <v>26</v>
      </c>
      <c r="E18" s="92" t="s">
        <v>110</v>
      </c>
      <c r="F18" s="16" t="s">
        <v>111</v>
      </c>
      <c r="G18" s="34" t="s">
        <v>260</v>
      </c>
      <c r="H18" s="78" t="s">
        <v>268</v>
      </c>
      <c r="I18" s="68" t="s">
        <v>245</v>
      </c>
      <c r="J18" s="9" t="s">
        <v>245</v>
      </c>
      <c r="K18" s="11">
        <v>1</v>
      </c>
      <c r="L18" s="128">
        <v>1</v>
      </c>
      <c r="M18" s="4">
        <f t="shared" si="5"/>
        <v>12</v>
      </c>
      <c r="N18" s="4">
        <v>22</v>
      </c>
      <c r="O18" s="4">
        <v>520</v>
      </c>
      <c r="P18" s="4">
        <v>1050</v>
      </c>
      <c r="Q18" s="4">
        <v>10200</v>
      </c>
      <c r="R18" s="183" t="s">
        <v>15</v>
      </c>
      <c r="S18" s="57">
        <v>0.1492</v>
      </c>
      <c r="T18" s="13">
        <f t="shared" si="3"/>
        <v>1.7904</v>
      </c>
      <c r="U18" s="57">
        <v>0.1492</v>
      </c>
      <c r="V18" s="13">
        <f t="shared" si="4"/>
        <v>3.2824</v>
      </c>
      <c r="W18" s="13">
        <v>0.128</v>
      </c>
      <c r="X18" s="6">
        <f t="shared" si="0"/>
        <v>66.56</v>
      </c>
      <c r="Y18" s="13">
        <v>0.12609999999999999</v>
      </c>
      <c r="Z18" s="6">
        <f t="shared" si="1"/>
        <v>132.405</v>
      </c>
      <c r="AA18" s="13">
        <v>0.12609999999999999</v>
      </c>
      <c r="AB18" s="6">
        <f t="shared" si="2"/>
        <v>1286.2199999999998</v>
      </c>
      <c r="AC18" s="38"/>
      <c r="AD18" s="8"/>
      <c r="AE18" s="8"/>
    </row>
    <row r="19" spans="1:31" ht="15.75" thickBot="1" x14ac:dyDescent="0.3">
      <c r="A19" s="52">
        <v>17</v>
      </c>
      <c r="B19" s="85"/>
      <c r="C19" s="103" t="s">
        <v>112</v>
      </c>
      <c r="D19" s="98" t="s">
        <v>113</v>
      </c>
      <c r="E19" s="99" t="s">
        <v>60</v>
      </c>
      <c r="F19" s="22" t="s">
        <v>114</v>
      </c>
      <c r="G19" s="20" t="s">
        <v>269</v>
      </c>
      <c r="H19" s="71" t="s">
        <v>270</v>
      </c>
      <c r="I19" s="72" t="s">
        <v>245</v>
      </c>
      <c r="J19" s="20" t="s">
        <v>245</v>
      </c>
      <c r="K19" s="23">
        <v>10</v>
      </c>
      <c r="L19" s="129">
        <v>1</v>
      </c>
      <c r="M19" s="4">
        <v>10</v>
      </c>
      <c r="N19" s="4">
        <v>20</v>
      </c>
      <c r="O19" s="4">
        <v>550</v>
      </c>
      <c r="P19" s="4">
        <v>1050</v>
      </c>
      <c r="Q19" s="4">
        <v>10500</v>
      </c>
      <c r="R19" s="186" t="s">
        <v>15</v>
      </c>
      <c r="S19" s="61">
        <v>4.9299999999999997E-2</v>
      </c>
      <c r="T19" s="13">
        <f t="shared" si="3"/>
        <v>0.49299999999999999</v>
      </c>
      <c r="U19" s="61">
        <v>4.9299999999999997E-2</v>
      </c>
      <c r="V19" s="13">
        <f t="shared" si="4"/>
        <v>0.98599999999999999</v>
      </c>
      <c r="W19" s="25">
        <v>3.7600000000000001E-2</v>
      </c>
      <c r="X19" s="6">
        <f t="shared" si="0"/>
        <v>20.68</v>
      </c>
      <c r="Y19" s="25">
        <v>3.5700000000000003E-2</v>
      </c>
      <c r="Z19" s="6">
        <f t="shared" si="1"/>
        <v>37.484999999999999</v>
      </c>
      <c r="AA19" s="25">
        <v>3.4500000000000003E-2</v>
      </c>
      <c r="AB19" s="6">
        <f t="shared" si="2"/>
        <v>362.25000000000006</v>
      </c>
      <c r="AC19" s="26"/>
      <c r="AD19" s="8"/>
      <c r="AE19" s="8"/>
    </row>
    <row r="20" spans="1:31" ht="15.75" thickBot="1" x14ac:dyDescent="0.3">
      <c r="A20" s="52">
        <v>18</v>
      </c>
      <c r="B20" s="84" t="s">
        <v>115</v>
      </c>
      <c r="C20" s="101" t="s">
        <v>116</v>
      </c>
      <c r="D20" s="88" t="s">
        <v>117</v>
      </c>
      <c r="E20" s="89" t="s">
        <v>118</v>
      </c>
      <c r="F20" s="28" t="s">
        <v>119</v>
      </c>
      <c r="G20" s="2" t="s">
        <v>120</v>
      </c>
      <c r="H20" s="76"/>
      <c r="I20" s="74"/>
      <c r="J20" s="2"/>
      <c r="K20" s="4"/>
      <c r="L20" s="127">
        <v>1</v>
      </c>
      <c r="M20" s="4">
        <f t="shared" si="5"/>
        <v>12</v>
      </c>
      <c r="N20" s="4">
        <f t="shared" si="6"/>
        <v>23</v>
      </c>
      <c r="O20" s="4">
        <f t="shared" si="7"/>
        <v>575</v>
      </c>
      <c r="P20" s="4">
        <f t="shared" si="8"/>
        <v>1150</v>
      </c>
      <c r="Q20" s="4">
        <f t="shared" si="9"/>
        <v>11500</v>
      </c>
      <c r="R20" s="5"/>
      <c r="S20" s="56"/>
      <c r="T20" s="13">
        <f t="shared" si="3"/>
        <v>0</v>
      </c>
      <c r="U20" s="56"/>
      <c r="V20" s="13">
        <f t="shared" si="4"/>
        <v>0</v>
      </c>
      <c r="W20" s="6"/>
      <c r="X20" s="6">
        <f t="shared" si="0"/>
        <v>0</v>
      </c>
      <c r="Y20" s="6"/>
      <c r="Z20" s="6">
        <f t="shared" si="1"/>
        <v>0</v>
      </c>
      <c r="AA20" s="6"/>
      <c r="AB20" s="6">
        <f t="shared" si="2"/>
        <v>0</v>
      </c>
      <c r="AC20" s="7"/>
      <c r="AD20" s="8"/>
      <c r="AE20" s="8"/>
    </row>
    <row r="21" spans="1:31" ht="15.75" thickBot="1" x14ac:dyDescent="0.3">
      <c r="A21" s="52">
        <v>19</v>
      </c>
      <c r="B21" s="85"/>
      <c r="C21" s="103" t="s">
        <v>121</v>
      </c>
      <c r="D21" s="98" t="s">
        <v>122</v>
      </c>
      <c r="E21" s="99" t="s">
        <v>118</v>
      </c>
      <c r="F21" s="22" t="s">
        <v>119</v>
      </c>
      <c r="G21" s="20" t="s">
        <v>123</v>
      </c>
      <c r="H21" s="143"/>
      <c r="I21" s="143"/>
      <c r="J21" s="20"/>
      <c r="K21" s="23"/>
      <c r="L21" s="129">
        <v>3</v>
      </c>
      <c r="M21" s="4">
        <f t="shared" si="5"/>
        <v>35</v>
      </c>
      <c r="N21" s="4">
        <f t="shared" si="6"/>
        <v>69</v>
      </c>
      <c r="O21" s="4">
        <f t="shared" si="7"/>
        <v>1725</v>
      </c>
      <c r="P21" s="4">
        <f t="shared" si="8"/>
        <v>3450</v>
      </c>
      <c r="Q21" s="4">
        <f t="shared" si="9"/>
        <v>34500</v>
      </c>
      <c r="R21" s="157"/>
      <c r="S21" s="61"/>
      <c r="T21" s="13">
        <f t="shared" si="3"/>
        <v>0</v>
      </c>
      <c r="U21" s="61"/>
      <c r="V21" s="13">
        <f t="shared" si="4"/>
        <v>0</v>
      </c>
      <c r="W21" s="25"/>
      <c r="X21" s="6">
        <f t="shared" si="0"/>
        <v>0</v>
      </c>
      <c r="Y21" s="25"/>
      <c r="Z21" s="6">
        <f t="shared" si="1"/>
        <v>0</v>
      </c>
      <c r="AA21" s="25"/>
      <c r="AB21" s="6">
        <f t="shared" si="2"/>
        <v>0</v>
      </c>
      <c r="AC21" s="26"/>
      <c r="AD21" s="8"/>
      <c r="AE21" s="8"/>
    </row>
    <row r="22" spans="1:31" ht="15.75" thickBot="1" x14ac:dyDescent="0.3">
      <c r="A22" s="52">
        <v>20</v>
      </c>
      <c r="B22" s="79" t="s">
        <v>27</v>
      </c>
      <c r="C22" s="108" t="s">
        <v>124</v>
      </c>
      <c r="D22" s="109" t="s">
        <v>28</v>
      </c>
      <c r="E22" s="110" t="s">
        <v>125</v>
      </c>
      <c r="F22" s="111" t="s">
        <v>126</v>
      </c>
      <c r="G22" s="112" t="s">
        <v>127</v>
      </c>
      <c r="H22" s="158" t="s">
        <v>271</v>
      </c>
      <c r="I22" s="150" t="s">
        <v>245</v>
      </c>
      <c r="J22" s="159" t="s">
        <v>245</v>
      </c>
      <c r="K22" s="160">
        <v>10</v>
      </c>
      <c r="L22" s="131">
        <v>3</v>
      </c>
      <c r="M22" s="4">
        <v>30</v>
      </c>
      <c r="N22" s="4">
        <v>70</v>
      </c>
      <c r="O22" s="4">
        <v>1600</v>
      </c>
      <c r="P22" s="4">
        <v>3150</v>
      </c>
      <c r="Q22" s="4">
        <v>31500</v>
      </c>
      <c r="R22" s="189" t="s">
        <v>15</v>
      </c>
      <c r="S22" s="161">
        <v>5.3699999999999998E-2</v>
      </c>
      <c r="T22" s="13">
        <f t="shared" si="3"/>
        <v>1.611</v>
      </c>
      <c r="U22" s="161">
        <v>5.3699999999999998E-2</v>
      </c>
      <c r="V22" s="13">
        <f t="shared" si="4"/>
        <v>3.7589999999999999</v>
      </c>
      <c r="W22" s="162">
        <v>3.5799999999999998E-2</v>
      </c>
      <c r="X22" s="6">
        <f t="shared" si="0"/>
        <v>57.28</v>
      </c>
      <c r="Y22" s="162">
        <v>3.5799999999999998E-2</v>
      </c>
      <c r="Z22" s="6">
        <f t="shared" si="1"/>
        <v>112.77</v>
      </c>
      <c r="AA22" s="162">
        <v>3.4200000000000001E-2</v>
      </c>
      <c r="AB22" s="6">
        <f t="shared" si="2"/>
        <v>1077.3</v>
      </c>
      <c r="AC22" s="160"/>
      <c r="AD22" s="8"/>
      <c r="AE22" s="8"/>
    </row>
    <row r="23" spans="1:31" ht="15.75" thickBot="1" x14ac:dyDescent="0.3">
      <c r="A23" s="52">
        <v>21</v>
      </c>
      <c r="B23" s="84" t="s">
        <v>29</v>
      </c>
      <c r="C23" s="101" t="s">
        <v>128</v>
      </c>
      <c r="D23" s="88" t="s">
        <v>129</v>
      </c>
      <c r="E23" s="89" t="s">
        <v>130</v>
      </c>
      <c r="F23" s="28" t="s">
        <v>131</v>
      </c>
      <c r="G23" s="2" t="s">
        <v>272</v>
      </c>
      <c r="H23" s="76" t="s">
        <v>273</v>
      </c>
      <c r="I23" s="1" t="s">
        <v>245</v>
      </c>
      <c r="J23" s="2" t="s">
        <v>274</v>
      </c>
      <c r="K23" s="4">
        <v>5</v>
      </c>
      <c r="L23" s="127">
        <v>1</v>
      </c>
      <c r="M23" s="4">
        <f t="shared" si="5"/>
        <v>12</v>
      </c>
      <c r="N23" s="4">
        <v>25</v>
      </c>
      <c r="O23" s="4">
        <v>525</v>
      </c>
      <c r="P23" s="4">
        <v>1050</v>
      </c>
      <c r="Q23" s="4">
        <v>10500</v>
      </c>
      <c r="R23" s="187" t="s">
        <v>15</v>
      </c>
      <c r="S23" s="56">
        <v>0.1138</v>
      </c>
      <c r="T23" s="13">
        <f t="shared" si="3"/>
        <v>1.3655999999999999</v>
      </c>
      <c r="U23" s="56">
        <v>0.1138</v>
      </c>
      <c r="V23" s="13">
        <f t="shared" si="4"/>
        <v>2.8449999999999998</v>
      </c>
      <c r="W23" s="6">
        <v>7.0400000000000004E-2</v>
      </c>
      <c r="X23" s="6">
        <f t="shared" si="0"/>
        <v>36.96</v>
      </c>
      <c r="Y23" s="6">
        <v>7.0400000000000004E-2</v>
      </c>
      <c r="Z23" s="6">
        <f t="shared" si="1"/>
        <v>73.92</v>
      </c>
      <c r="AA23" s="6">
        <v>6.7500000000000004E-2</v>
      </c>
      <c r="AB23" s="6">
        <f t="shared" si="2"/>
        <v>708.75</v>
      </c>
      <c r="AC23" s="7"/>
      <c r="AD23" s="8"/>
      <c r="AE23" s="8"/>
    </row>
    <row r="24" spans="1:31" ht="15.75" thickBot="1" x14ac:dyDescent="0.3">
      <c r="A24" s="52">
        <v>22</v>
      </c>
      <c r="B24" s="83"/>
      <c r="C24" s="107" t="s">
        <v>132</v>
      </c>
      <c r="D24" s="94" t="s">
        <v>133</v>
      </c>
      <c r="E24" s="92" t="s">
        <v>55</v>
      </c>
      <c r="F24" s="16"/>
      <c r="G24" s="9"/>
      <c r="H24" s="66"/>
      <c r="I24" s="15" t="s">
        <v>245</v>
      </c>
      <c r="J24" s="190" t="s">
        <v>35</v>
      </c>
      <c r="K24" s="9">
        <v>100</v>
      </c>
      <c r="L24" s="128">
        <v>3</v>
      </c>
      <c r="M24" s="4">
        <v>100</v>
      </c>
      <c r="N24" s="4">
        <v>100</v>
      </c>
      <c r="O24" s="4">
        <v>1600</v>
      </c>
      <c r="P24" s="4">
        <v>3200</v>
      </c>
      <c r="Q24" s="4">
        <v>32000</v>
      </c>
      <c r="R24" s="183" t="s">
        <v>15</v>
      </c>
      <c r="S24" s="57">
        <v>1.2999999999999999E-3</v>
      </c>
      <c r="T24" s="13">
        <f t="shared" si="3"/>
        <v>0.13</v>
      </c>
      <c r="U24" s="57">
        <v>1.2999999999999999E-3</v>
      </c>
      <c r="V24" s="13">
        <f t="shared" si="4"/>
        <v>0.13</v>
      </c>
      <c r="W24" s="13">
        <v>1E-3</v>
      </c>
      <c r="X24" s="6">
        <f t="shared" si="0"/>
        <v>1.6</v>
      </c>
      <c r="Y24" s="13">
        <v>8.9999999999999998E-4</v>
      </c>
      <c r="Z24" s="6">
        <f t="shared" si="1"/>
        <v>2.88</v>
      </c>
      <c r="AA24" s="13">
        <v>8.0000000000000004E-4</v>
      </c>
      <c r="AB24" s="6">
        <f t="shared" si="2"/>
        <v>25.6</v>
      </c>
      <c r="AC24" s="14"/>
      <c r="AD24" s="8"/>
      <c r="AE24" s="8"/>
    </row>
    <row r="25" spans="1:31" ht="15.75" thickBot="1" x14ac:dyDescent="0.3">
      <c r="A25" s="52">
        <v>23</v>
      </c>
      <c r="B25" s="83"/>
      <c r="C25" s="191" t="s">
        <v>135</v>
      </c>
      <c r="D25" s="94" t="s">
        <v>280</v>
      </c>
      <c r="E25" s="92" t="s">
        <v>55</v>
      </c>
      <c r="F25" s="16" t="s">
        <v>134</v>
      </c>
      <c r="G25" s="9" t="s">
        <v>247</v>
      </c>
      <c r="H25" s="66" t="s">
        <v>275</v>
      </c>
      <c r="I25" s="15" t="s">
        <v>245</v>
      </c>
      <c r="J25" s="9" t="s">
        <v>276</v>
      </c>
      <c r="K25" s="15">
        <v>100</v>
      </c>
      <c r="L25" s="128">
        <v>5</v>
      </c>
      <c r="M25" s="4">
        <v>100</v>
      </c>
      <c r="N25" s="4">
        <v>200</v>
      </c>
      <c r="O25" s="4">
        <v>2600</v>
      </c>
      <c r="P25" s="4">
        <v>5200</v>
      </c>
      <c r="Q25" s="4">
        <v>52000</v>
      </c>
      <c r="R25" s="141" t="s">
        <v>15</v>
      </c>
      <c r="S25" s="59">
        <v>1.2999999999999999E-3</v>
      </c>
      <c r="T25" s="13">
        <f t="shared" si="3"/>
        <v>0.13</v>
      </c>
      <c r="U25" s="59">
        <v>1.2999999999999999E-3</v>
      </c>
      <c r="V25" s="13">
        <f t="shared" si="4"/>
        <v>0.26</v>
      </c>
      <c r="W25" s="60">
        <v>1E-3</v>
      </c>
      <c r="X25" s="6">
        <f t="shared" si="0"/>
        <v>2.6</v>
      </c>
      <c r="Y25" s="60">
        <v>8.9999999999999998E-4</v>
      </c>
      <c r="Z25" s="6">
        <f t="shared" si="1"/>
        <v>4.68</v>
      </c>
      <c r="AA25" s="60">
        <v>8.0000000000000004E-4</v>
      </c>
      <c r="AB25" s="6">
        <f t="shared" si="2"/>
        <v>41.6</v>
      </c>
      <c r="AC25" s="39"/>
      <c r="AD25" s="8"/>
      <c r="AE25" s="8"/>
    </row>
    <row r="26" spans="1:31" ht="15.75" thickBot="1" x14ac:dyDescent="0.3">
      <c r="A26" s="52">
        <v>24</v>
      </c>
      <c r="B26" s="83"/>
      <c r="C26" s="107" t="s">
        <v>136</v>
      </c>
      <c r="D26" s="94" t="s">
        <v>30</v>
      </c>
      <c r="E26" s="92" t="s">
        <v>55</v>
      </c>
      <c r="F26" s="16" t="s">
        <v>137</v>
      </c>
      <c r="G26" s="9" t="s">
        <v>57</v>
      </c>
      <c r="H26" s="66" t="s">
        <v>277</v>
      </c>
      <c r="I26" s="15" t="s">
        <v>245</v>
      </c>
      <c r="J26" s="9" t="s">
        <v>278</v>
      </c>
      <c r="K26" s="9">
        <v>100</v>
      </c>
      <c r="L26" s="128">
        <v>1</v>
      </c>
      <c r="M26" s="4">
        <v>100</v>
      </c>
      <c r="N26" s="4">
        <v>100</v>
      </c>
      <c r="O26" s="4">
        <v>600</v>
      </c>
      <c r="P26" s="4">
        <v>1100</v>
      </c>
      <c r="Q26" s="4">
        <v>10500</v>
      </c>
      <c r="R26" s="183" t="s">
        <v>15</v>
      </c>
      <c r="S26" s="57">
        <v>1.9E-3</v>
      </c>
      <c r="T26" s="13">
        <f t="shared" si="3"/>
        <v>0.19</v>
      </c>
      <c r="U26" s="57">
        <v>1.9E-3</v>
      </c>
      <c r="V26" s="13">
        <f t="shared" si="4"/>
        <v>0.19</v>
      </c>
      <c r="W26" s="13">
        <v>1.9E-3</v>
      </c>
      <c r="X26" s="6">
        <f t="shared" si="0"/>
        <v>1.1399999999999999</v>
      </c>
      <c r="Y26" s="13">
        <v>1.6000000000000001E-3</v>
      </c>
      <c r="Z26" s="6">
        <f t="shared" si="1"/>
        <v>1.76</v>
      </c>
      <c r="AA26" s="13">
        <v>1.4E-3</v>
      </c>
      <c r="AB26" s="6">
        <f t="shared" si="2"/>
        <v>14.7</v>
      </c>
      <c r="AC26" s="14"/>
      <c r="AD26" s="8"/>
      <c r="AE26" s="8"/>
    </row>
    <row r="27" spans="1:31" ht="15.75" thickBot="1" x14ac:dyDescent="0.3">
      <c r="A27" s="52">
        <v>25</v>
      </c>
      <c r="B27" s="83"/>
      <c r="C27" s="102" t="s">
        <v>138</v>
      </c>
      <c r="D27" s="94" t="s">
        <v>139</v>
      </c>
      <c r="E27" s="92" t="s">
        <v>55</v>
      </c>
      <c r="F27" s="16" t="s">
        <v>140</v>
      </c>
      <c r="G27" s="9" t="s">
        <v>141</v>
      </c>
      <c r="H27" s="66"/>
      <c r="I27" s="15"/>
      <c r="J27" s="9"/>
      <c r="K27" s="9"/>
      <c r="L27" s="128">
        <v>1</v>
      </c>
      <c r="M27" s="4">
        <f t="shared" si="5"/>
        <v>12</v>
      </c>
      <c r="N27" s="4">
        <f t="shared" si="6"/>
        <v>23</v>
      </c>
      <c r="O27" s="4">
        <f t="shared" si="7"/>
        <v>575</v>
      </c>
      <c r="P27" s="4">
        <f t="shared" si="8"/>
        <v>1150</v>
      </c>
      <c r="Q27" s="4">
        <f t="shared" si="9"/>
        <v>11500</v>
      </c>
      <c r="R27" s="17"/>
      <c r="S27" s="57"/>
      <c r="T27" s="13">
        <f t="shared" si="3"/>
        <v>0</v>
      </c>
      <c r="U27" s="57"/>
      <c r="V27" s="13">
        <f t="shared" si="4"/>
        <v>0</v>
      </c>
      <c r="W27" s="13"/>
      <c r="X27" s="6">
        <f t="shared" si="0"/>
        <v>0</v>
      </c>
      <c r="Y27" s="13"/>
      <c r="Z27" s="6">
        <f t="shared" si="1"/>
        <v>0</v>
      </c>
      <c r="AA27" s="13"/>
      <c r="AB27" s="6">
        <f t="shared" si="2"/>
        <v>0</v>
      </c>
      <c r="AC27" s="14"/>
      <c r="AD27" s="8"/>
      <c r="AE27" s="8"/>
    </row>
    <row r="28" spans="1:31" ht="15.75" thickBot="1" x14ac:dyDescent="0.3">
      <c r="A28" s="52">
        <v>26</v>
      </c>
      <c r="B28" s="83"/>
      <c r="C28" s="107" t="s">
        <v>142</v>
      </c>
      <c r="D28" s="94" t="s">
        <v>31</v>
      </c>
      <c r="E28" s="92" t="s">
        <v>143</v>
      </c>
      <c r="F28" s="16" t="s">
        <v>33</v>
      </c>
      <c r="G28" s="9" t="s">
        <v>279</v>
      </c>
      <c r="H28" s="66" t="s">
        <v>32</v>
      </c>
      <c r="I28" s="15" t="s">
        <v>245</v>
      </c>
      <c r="J28" s="9" t="s">
        <v>34</v>
      </c>
      <c r="K28" s="9">
        <v>50</v>
      </c>
      <c r="L28" s="128">
        <v>1</v>
      </c>
      <c r="M28" s="4">
        <v>50</v>
      </c>
      <c r="N28" s="4">
        <v>50</v>
      </c>
      <c r="O28" s="4">
        <v>550</v>
      </c>
      <c r="P28" s="4">
        <v>1050</v>
      </c>
      <c r="Q28" s="4">
        <v>10500</v>
      </c>
      <c r="R28" s="183" t="s">
        <v>15</v>
      </c>
      <c r="S28" s="57">
        <v>0.02</v>
      </c>
      <c r="T28" s="13">
        <f t="shared" si="3"/>
        <v>1</v>
      </c>
      <c r="U28" s="57">
        <v>0.02</v>
      </c>
      <c r="V28" s="13">
        <f t="shared" si="4"/>
        <v>1</v>
      </c>
      <c r="W28" s="13">
        <v>1.5800000000000002E-2</v>
      </c>
      <c r="X28" s="6">
        <f t="shared" si="0"/>
        <v>8.6900000000000013</v>
      </c>
      <c r="Y28" s="13">
        <v>1.5800000000000002E-2</v>
      </c>
      <c r="Z28" s="6">
        <f t="shared" si="1"/>
        <v>16.59</v>
      </c>
      <c r="AA28" s="13">
        <v>1.4200000000000001E-2</v>
      </c>
      <c r="AB28" s="6">
        <f t="shared" si="2"/>
        <v>149.10000000000002</v>
      </c>
      <c r="AC28" s="14"/>
      <c r="AD28" s="8"/>
      <c r="AE28" s="8"/>
    </row>
    <row r="29" spans="1:31" ht="15.75" thickBot="1" x14ac:dyDescent="0.3">
      <c r="A29" s="52">
        <v>27</v>
      </c>
      <c r="B29" s="83"/>
      <c r="C29" s="191" t="s">
        <v>144</v>
      </c>
      <c r="D29" s="192"/>
      <c r="E29" s="192" t="s">
        <v>55</v>
      </c>
      <c r="F29" s="193" t="s">
        <v>145</v>
      </c>
      <c r="G29" s="194" t="s">
        <v>73</v>
      </c>
      <c r="H29" s="195"/>
      <c r="I29" s="194" t="s">
        <v>245</v>
      </c>
      <c r="J29" s="194"/>
      <c r="K29" s="9"/>
      <c r="L29" s="128">
        <v>1</v>
      </c>
      <c r="M29" s="4">
        <f t="shared" si="5"/>
        <v>12</v>
      </c>
      <c r="N29" s="4">
        <f t="shared" si="6"/>
        <v>23</v>
      </c>
      <c r="O29" s="4">
        <f t="shared" si="7"/>
        <v>575</v>
      </c>
      <c r="P29" s="4">
        <f t="shared" si="8"/>
        <v>1150</v>
      </c>
      <c r="Q29" s="4">
        <f t="shared" si="9"/>
        <v>11500</v>
      </c>
      <c r="R29" s="17"/>
      <c r="S29" s="57"/>
      <c r="T29" s="13">
        <f t="shared" si="3"/>
        <v>0</v>
      </c>
      <c r="U29" s="57"/>
      <c r="V29" s="13">
        <f t="shared" si="4"/>
        <v>0</v>
      </c>
      <c r="W29" s="13"/>
      <c r="X29" s="6">
        <f t="shared" si="0"/>
        <v>0</v>
      </c>
      <c r="Y29" s="13"/>
      <c r="Z29" s="6">
        <f t="shared" si="1"/>
        <v>0</v>
      </c>
      <c r="AA29" s="13"/>
      <c r="AB29" s="6">
        <f t="shared" si="2"/>
        <v>0</v>
      </c>
      <c r="AC29" s="14"/>
      <c r="AD29" s="8"/>
      <c r="AE29" s="8"/>
    </row>
    <row r="30" spans="1:31" ht="15.75" thickBot="1" x14ac:dyDescent="0.3">
      <c r="A30" s="52">
        <v>28</v>
      </c>
      <c r="B30" s="83"/>
      <c r="C30" s="107" t="s">
        <v>146</v>
      </c>
      <c r="D30" s="94" t="s">
        <v>147</v>
      </c>
      <c r="E30" s="92" t="s">
        <v>55</v>
      </c>
      <c r="F30" s="16" t="s">
        <v>148</v>
      </c>
      <c r="G30" s="9"/>
      <c r="H30" s="66"/>
      <c r="I30" s="66"/>
      <c r="J30" s="9"/>
      <c r="K30" s="9"/>
      <c r="L30" s="128">
        <v>1</v>
      </c>
      <c r="M30" s="4">
        <f t="shared" si="5"/>
        <v>12</v>
      </c>
      <c r="N30" s="4">
        <f t="shared" si="6"/>
        <v>23</v>
      </c>
      <c r="O30" s="4">
        <f t="shared" si="7"/>
        <v>575</v>
      </c>
      <c r="P30" s="4">
        <f t="shared" si="8"/>
        <v>1150</v>
      </c>
      <c r="Q30" s="4">
        <f t="shared" si="9"/>
        <v>11500</v>
      </c>
      <c r="R30" s="17"/>
      <c r="S30" s="57"/>
      <c r="T30" s="13">
        <f t="shared" si="3"/>
        <v>0</v>
      </c>
      <c r="U30" s="57"/>
      <c r="V30" s="13">
        <f t="shared" si="4"/>
        <v>0</v>
      </c>
      <c r="W30" s="13"/>
      <c r="X30" s="6">
        <f t="shared" si="0"/>
        <v>0</v>
      </c>
      <c r="Y30" s="13"/>
      <c r="Z30" s="6">
        <f t="shared" si="1"/>
        <v>0</v>
      </c>
      <c r="AA30" s="13"/>
      <c r="AB30" s="6">
        <f t="shared" si="2"/>
        <v>0</v>
      </c>
      <c r="AC30" s="14"/>
      <c r="AD30" s="8"/>
      <c r="AE30" s="8"/>
    </row>
    <row r="31" spans="1:31" ht="15.75" thickBot="1" x14ac:dyDescent="0.3">
      <c r="A31" s="52">
        <v>29</v>
      </c>
      <c r="B31" s="83"/>
      <c r="C31" s="102" t="s">
        <v>149</v>
      </c>
      <c r="D31" s="94" t="s">
        <v>150</v>
      </c>
      <c r="E31" s="92" t="s">
        <v>55</v>
      </c>
      <c r="F31" s="16" t="s">
        <v>151</v>
      </c>
      <c r="G31" s="9" t="s">
        <v>73</v>
      </c>
      <c r="H31" s="66"/>
      <c r="I31" s="66"/>
      <c r="J31" s="9"/>
      <c r="K31" s="11"/>
      <c r="L31" s="128">
        <v>1</v>
      </c>
      <c r="M31" s="4">
        <f t="shared" si="5"/>
        <v>12</v>
      </c>
      <c r="N31" s="4">
        <f t="shared" si="6"/>
        <v>23</v>
      </c>
      <c r="O31" s="4">
        <f t="shared" si="7"/>
        <v>575</v>
      </c>
      <c r="P31" s="4">
        <f t="shared" si="8"/>
        <v>1150</v>
      </c>
      <c r="Q31" s="4">
        <f t="shared" si="9"/>
        <v>11500</v>
      </c>
      <c r="R31" s="12"/>
      <c r="S31" s="57"/>
      <c r="T31" s="13">
        <f t="shared" si="3"/>
        <v>0</v>
      </c>
      <c r="U31" s="57"/>
      <c r="V31" s="13">
        <f t="shared" si="4"/>
        <v>0</v>
      </c>
      <c r="W31" s="13"/>
      <c r="X31" s="6">
        <f t="shared" si="0"/>
        <v>0</v>
      </c>
      <c r="Y31" s="13"/>
      <c r="Z31" s="6">
        <f t="shared" si="1"/>
        <v>0</v>
      </c>
      <c r="AA31" s="13"/>
      <c r="AB31" s="6">
        <f t="shared" si="2"/>
        <v>0</v>
      </c>
      <c r="AC31" s="14"/>
      <c r="AD31" s="8"/>
      <c r="AE31" s="8"/>
    </row>
    <row r="32" spans="1:31" ht="15.75" thickBot="1" x14ac:dyDescent="0.3">
      <c r="A32" s="52">
        <v>30</v>
      </c>
      <c r="B32" s="83"/>
      <c r="C32" s="107" t="s">
        <v>152</v>
      </c>
      <c r="D32" s="94" t="s">
        <v>153</v>
      </c>
      <c r="E32" s="92" t="s">
        <v>55</v>
      </c>
      <c r="F32" s="16" t="s">
        <v>154</v>
      </c>
      <c r="G32" s="9"/>
      <c r="H32" s="66"/>
      <c r="I32" s="67"/>
      <c r="J32" s="9"/>
      <c r="K32" s="11"/>
      <c r="L32" s="128">
        <v>1</v>
      </c>
      <c r="M32" s="4">
        <f t="shared" si="5"/>
        <v>12</v>
      </c>
      <c r="N32" s="4">
        <f t="shared" si="6"/>
        <v>23</v>
      </c>
      <c r="O32" s="4">
        <f t="shared" si="7"/>
        <v>575</v>
      </c>
      <c r="P32" s="4">
        <f t="shared" si="8"/>
        <v>1150</v>
      </c>
      <c r="Q32" s="4">
        <f t="shared" si="9"/>
        <v>11500</v>
      </c>
      <c r="R32" s="12"/>
      <c r="S32" s="57"/>
      <c r="T32" s="13">
        <f t="shared" si="3"/>
        <v>0</v>
      </c>
      <c r="U32" s="57"/>
      <c r="V32" s="13">
        <f t="shared" si="4"/>
        <v>0</v>
      </c>
      <c r="W32" s="13"/>
      <c r="X32" s="6">
        <f t="shared" si="0"/>
        <v>0</v>
      </c>
      <c r="Y32" s="13"/>
      <c r="Z32" s="6">
        <f t="shared" si="1"/>
        <v>0</v>
      </c>
      <c r="AA32" s="13"/>
      <c r="AB32" s="6">
        <f t="shared" si="2"/>
        <v>0</v>
      </c>
      <c r="AC32" s="14"/>
      <c r="AD32" s="8"/>
      <c r="AE32" s="8"/>
    </row>
    <row r="33" spans="1:31" ht="15.75" thickBot="1" x14ac:dyDescent="0.3">
      <c r="A33" s="52">
        <v>31</v>
      </c>
      <c r="B33" s="83"/>
      <c r="C33" s="102" t="s">
        <v>155</v>
      </c>
      <c r="D33" s="113" t="s">
        <v>156</v>
      </c>
      <c r="E33" s="92" t="s">
        <v>55</v>
      </c>
      <c r="F33" s="16" t="s">
        <v>157</v>
      </c>
      <c r="G33" s="9" t="s">
        <v>158</v>
      </c>
      <c r="H33" s="66"/>
      <c r="I33" s="78"/>
      <c r="J33" s="9"/>
      <c r="K33" s="11"/>
      <c r="L33" s="128">
        <v>6</v>
      </c>
      <c r="M33" s="4">
        <f t="shared" si="5"/>
        <v>69</v>
      </c>
      <c r="N33" s="4">
        <f t="shared" si="6"/>
        <v>138</v>
      </c>
      <c r="O33" s="4">
        <f t="shared" si="7"/>
        <v>3450</v>
      </c>
      <c r="P33" s="4">
        <f t="shared" si="8"/>
        <v>6900</v>
      </c>
      <c r="Q33" s="4">
        <f t="shared" si="9"/>
        <v>69000</v>
      </c>
      <c r="R33" s="12"/>
      <c r="S33" s="57"/>
      <c r="T33" s="13">
        <f t="shared" si="3"/>
        <v>0</v>
      </c>
      <c r="U33" s="57"/>
      <c r="V33" s="13">
        <f t="shared" si="4"/>
        <v>0</v>
      </c>
      <c r="W33" s="13"/>
      <c r="X33" s="6">
        <f t="shared" si="0"/>
        <v>0</v>
      </c>
      <c r="Y33" s="13"/>
      <c r="Z33" s="6">
        <f t="shared" si="1"/>
        <v>0</v>
      </c>
      <c r="AA33" s="13"/>
      <c r="AB33" s="6">
        <f t="shared" si="2"/>
        <v>0</v>
      </c>
      <c r="AC33" s="14"/>
      <c r="AD33" s="8"/>
      <c r="AE33" s="8"/>
    </row>
    <row r="34" spans="1:31" ht="15.75" thickBot="1" x14ac:dyDescent="0.3">
      <c r="A34" s="52">
        <v>32</v>
      </c>
      <c r="B34" s="83"/>
      <c r="C34" s="102" t="s">
        <v>159</v>
      </c>
      <c r="D34" s="94" t="s">
        <v>160</v>
      </c>
      <c r="E34" s="92" t="s">
        <v>55</v>
      </c>
      <c r="F34" s="16" t="s">
        <v>161</v>
      </c>
      <c r="G34" s="9" t="s">
        <v>57</v>
      </c>
      <c r="H34" s="66"/>
      <c r="I34" s="15"/>
      <c r="J34" s="9"/>
      <c r="K34" s="11"/>
      <c r="L34" s="128">
        <v>1</v>
      </c>
      <c r="M34" s="4">
        <f t="shared" si="5"/>
        <v>12</v>
      </c>
      <c r="N34" s="4">
        <f t="shared" si="6"/>
        <v>23</v>
      </c>
      <c r="O34" s="4">
        <f t="shared" si="7"/>
        <v>575</v>
      </c>
      <c r="P34" s="4">
        <f t="shared" si="8"/>
        <v>1150</v>
      </c>
      <c r="Q34" s="4">
        <f t="shared" si="9"/>
        <v>11500</v>
      </c>
      <c r="R34" s="12"/>
      <c r="S34" s="57"/>
      <c r="T34" s="13">
        <f t="shared" si="3"/>
        <v>0</v>
      </c>
      <c r="U34" s="57"/>
      <c r="V34" s="13">
        <f t="shared" si="4"/>
        <v>0</v>
      </c>
      <c r="W34" s="13"/>
      <c r="X34" s="6">
        <f t="shared" si="0"/>
        <v>0</v>
      </c>
      <c r="Y34" s="13"/>
      <c r="Z34" s="6">
        <f t="shared" si="1"/>
        <v>0</v>
      </c>
      <c r="AA34" s="13"/>
      <c r="AB34" s="6">
        <f t="shared" si="2"/>
        <v>0</v>
      </c>
      <c r="AC34" s="14"/>
      <c r="AD34" s="8"/>
      <c r="AE34" s="8"/>
    </row>
    <row r="35" spans="1:31" ht="15.75" thickBot="1" x14ac:dyDescent="0.3">
      <c r="A35" s="52">
        <v>33</v>
      </c>
      <c r="B35" s="83"/>
      <c r="C35" s="107" t="s">
        <v>162</v>
      </c>
      <c r="D35" s="94" t="s">
        <v>163</v>
      </c>
      <c r="E35" s="92" t="s">
        <v>55</v>
      </c>
      <c r="F35" s="16" t="s">
        <v>164</v>
      </c>
      <c r="G35" s="9"/>
      <c r="H35" s="66"/>
      <c r="I35" s="15"/>
      <c r="J35" s="15"/>
      <c r="K35" s="68"/>
      <c r="L35" s="128">
        <v>3</v>
      </c>
      <c r="M35" s="4">
        <f t="shared" si="5"/>
        <v>35</v>
      </c>
      <c r="N35" s="4">
        <f t="shared" si="6"/>
        <v>69</v>
      </c>
      <c r="O35" s="4">
        <f t="shared" si="7"/>
        <v>1725</v>
      </c>
      <c r="P35" s="4">
        <f t="shared" si="8"/>
        <v>3450</v>
      </c>
      <c r="Q35" s="4">
        <f t="shared" si="9"/>
        <v>34500</v>
      </c>
      <c r="R35" s="12"/>
      <c r="S35" s="57"/>
      <c r="T35" s="13">
        <f t="shared" si="3"/>
        <v>0</v>
      </c>
      <c r="U35" s="57"/>
      <c r="V35" s="13">
        <f t="shared" si="4"/>
        <v>0</v>
      </c>
      <c r="W35" s="13"/>
      <c r="X35" s="6">
        <f t="shared" si="0"/>
        <v>0</v>
      </c>
      <c r="Y35" s="13"/>
      <c r="Z35" s="6">
        <f t="shared" si="1"/>
        <v>0</v>
      </c>
      <c r="AA35" s="13"/>
      <c r="AB35" s="6">
        <f t="shared" si="2"/>
        <v>0</v>
      </c>
      <c r="AC35" s="14"/>
      <c r="AD35" s="8"/>
      <c r="AE35" s="8"/>
    </row>
    <row r="36" spans="1:31" ht="15.75" thickBot="1" x14ac:dyDescent="0.3">
      <c r="A36" s="52">
        <v>34</v>
      </c>
      <c r="B36" s="83"/>
      <c r="C36" s="107" t="s">
        <v>165</v>
      </c>
      <c r="D36" s="94" t="s">
        <v>166</v>
      </c>
      <c r="E36" s="92" t="s">
        <v>143</v>
      </c>
      <c r="F36" s="16" t="s">
        <v>167</v>
      </c>
      <c r="G36" s="9"/>
      <c r="H36" s="66"/>
      <c r="I36" s="15"/>
      <c r="J36" s="15"/>
      <c r="K36" s="68"/>
      <c r="L36" s="128">
        <v>4</v>
      </c>
      <c r="M36" s="4">
        <f t="shared" si="5"/>
        <v>46</v>
      </c>
      <c r="N36" s="4">
        <f t="shared" si="6"/>
        <v>92</v>
      </c>
      <c r="O36" s="4">
        <f t="shared" si="7"/>
        <v>2300</v>
      </c>
      <c r="P36" s="4">
        <f t="shared" si="8"/>
        <v>4600</v>
      </c>
      <c r="Q36" s="4">
        <f t="shared" si="9"/>
        <v>46000</v>
      </c>
      <c r="R36" s="141"/>
      <c r="S36" s="142"/>
      <c r="T36" s="13">
        <f t="shared" si="3"/>
        <v>0</v>
      </c>
      <c r="U36" s="142"/>
      <c r="V36" s="13">
        <f t="shared" si="4"/>
        <v>0</v>
      </c>
      <c r="W36" s="60"/>
      <c r="X36" s="6">
        <f t="shared" si="0"/>
        <v>0</v>
      </c>
      <c r="Y36" s="60"/>
      <c r="Z36" s="6">
        <f t="shared" si="1"/>
        <v>0</v>
      </c>
      <c r="AA36" s="60"/>
      <c r="AB36" s="6">
        <f t="shared" si="2"/>
        <v>0</v>
      </c>
      <c r="AC36" s="18"/>
      <c r="AD36" s="8"/>
      <c r="AE36" s="8"/>
    </row>
    <row r="37" spans="1:31" ht="15.75" thickBot="1" x14ac:dyDescent="0.3">
      <c r="A37" s="52">
        <v>35</v>
      </c>
      <c r="B37" s="85"/>
      <c r="C37" s="114" t="s">
        <v>168</v>
      </c>
      <c r="D37" s="115" t="s">
        <v>169</v>
      </c>
      <c r="E37" s="99" t="s">
        <v>143</v>
      </c>
      <c r="F37" s="22" t="s">
        <v>170</v>
      </c>
      <c r="G37" s="20" t="s">
        <v>57</v>
      </c>
      <c r="H37" s="143"/>
      <c r="I37" s="19"/>
      <c r="J37" s="19"/>
      <c r="K37" s="71"/>
      <c r="L37" s="129">
        <v>1</v>
      </c>
      <c r="M37" s="4">
        <f t="shared" si="5"/>
        <v>12</v>
      </c>
      <c r="N37" s="4">
        <f t="shared" si="6"/>
        <v>23</v>
      </c>
      <c r="O37" s="4">
        <f t="shared" si="7"/>
        <v>575</v>
      </c>
      <c r="P37" s="4">
        <f t="shared" si="8"/>
        <v>1150</v>
      </c>
      <c r="Q37" s="4">
        <f t="shared" si="9"/>
        <v>11500</v>
      </c>
      <c r="R37" s="24"/>
      <c r="S37" s="61"/>
      <c r="T37" s="13">
        <f t="shared" si="3"/>
        <v>0</v>
      </c>
      <c r="U37" s="61"/>
      <c r="V37" s="13">
        <f t="shared" si="4"/>
        <v>0</v>
      </c>
      <c r="W37" s="25"/>
      <c r="X37" s="6">
        <f t="shared" si="0"/>
        <v>0</v>
      </c>
      <c r="Y37" s="25"/>
      <c r="Z37" s="6">
        <f t="shared" si="1"/>
        <v>0</v>
      </c>
      <c r="AA37" s="25"/>
      <c r="AB37" s="6">
        <f t="shared" si="2"/>
        <v>0</v>
      </c>
      <c r="AC37" s="26"/>
      <c r="AD37" s="8"/>
      <c r="AE37" s="8"/>
    </row>
    <row r="38" spans="1:31" ht="15.75" thickBot="1" x14ac:dyDescent="0.3">
      <c r="A38" s="52">
        <v>36</v>
      </c>
      <c r="B38" s="84" t="s">
        <v>171</v>
      </c>
      <c r="C38" s="101" t="s">
        <v>172</v>
      </c>
      <c r="D38" s="89" t="s">
        <v>173</v>
      </c>
      <c r="E38" s="89" t="s">
        <v>174</v>
      </c>
      <c r="F38" s="28" t="s">
        <v>175</v>
      </c>
      <c r="G38" s="2"/>
      <c r="H38" s="76"/>
      <c r="I38" s="1"/>
      <c r="J38" s="1"/>
      <c r="K38" s="144"/>
      <c r="L38" s="3">
        <v>1</v>
      </c>
      <c r="M38" s="4">
        <f t="shared" si="5"/>
        <v>12</v>
      </c>
      <c r="N38" s="4">
        <f t="shared" si="6"/>
        <v>23</v>
      </c>
      <c r="O38" s="4">
        <f t="shared" si="7"/>
        <v>575</v>
      </c>
      <c r="P38" s="4">
        <f t="shared" si="8"/>
        <v>1150</v>
      </c>
      <c r="Q38" s="4">
        <f t="shared" si="9"/>
        <v>11500</v>
      </c>
      <c r="R38" s="145"/>
      <c r="S38" s="56"/>
      <c r="T38" s="13">
        <f t="shared" si="3"/>
        <v>0</v>
      </c>
      <c r="U38" s="56"/>
      <c r="V38" s="13">
        <f t="shared" si="4"/>
        <v>0</v>
      </c>
      <c r="W38" s="6"/>
      <c r="X38" s="6">
        <f t="shared" si="0"/>
        <v>0</v>
      </c>
      <c r="Y38" s="6"/>
      <c r="Z38" s="6">
        <f t="shared" si="1"/>
        <v>0</v>
      </c>
      <c r="AA38" s="6"/>
      <c r="AB38" s="6">
        <f t="shared" si="2"/>
        <v>0</v>
      </c>
      <c r="AC38" s="7"/>
      <c r="AD38" s="8"/>
      <c r="AE38" s="8"/>
    </row>
    <row r="39" spans="1:31" ht="15.75" thickBot="1" x14ac:dyDescent="0.3">
      <c r="A39" s="52">
        <v>37</v>
      </c>
      <c r="B39" s="85"/>
      <c r="C39" s="103" t="s">
        <v>176</v>
      </c>
      <c r="D39" s="99" t="s">
        <v>177</v>
      </c>
      <c r="E39" s="99" t="s">
        <v>178</v>
      </c>
      <c r="F39" s="22" t="s">
        <v>179</v>
      </c>
      <c r="G39" s="20"/>
      <c r="H39" s="143"/>
      <c r="I39" s="19"/>
      <c r="J39" s="19"/>
      <c r="K39" s="71"/>
      <c r="L39" s="21">
        <v>1</v>
      </c>
      <c r="M39" s="4">
        <f t="shared" si="5"/>
        <v>12</v>
      </c>
      <c r="N39" s="4">
        <f t="shared" si="6"/>
        <v>23</v>
      </c>
      <c r="O39" s="4">
        <f t="shared" si="7"/>
        <v>575</v>
      </c>
      <c r="P39" s="4">
        <f t="shared" si="8"/>
        <v>1150</v>
      </c>
      <c r="Q39" s="4">
        <f t="shared" si="9"/>
        <v>11500</v>
      </c>
      <c r="R39" s="165"/>
      <c r="S39" s="166"/>
      <c r="T39" s="13">
        <f t="shared" si="3"/>
        <v>0</v>
      </c>
      <c r="U39" s="166"/>
      <c r="V39" s="13">
        <f t="shared" si="4"/>
        <v>0</v>
      </c>
      <c r="W39" s="167"/>
      <c r="X39" s="6">
        <f t="shared" si="0"/>
        <v>0</v>
      </c>
      <c r="Y39" s="167"/>
      <c r="Z39" s="6">
        <f t="shared" si="1"/>
        <v>0</v>
      </c>
      <c r="AA39" s="167"/>
      <c r="AB39" s="6">
        <f t="shared" si="2"/>
        <v>0</v>
      </c>
      <c r="AC39" s="168"/>
      <c r="AD39" s="8"/>
      <c r="AE39" s="8"/>
    </row>
    <row r="40" spans="1:31" ht="15.75" thickBot="1" x14ac:dyDescent="0.3">
      <c r="A40" s="52">
        <v>38</v>
      </c>
      <c r="B40" s="104" t="s">
        <v>180</v>
      </c>
      <c r="C40" s="174" t="s">
        <v>181</v>
      </c>
      <c r="D40" s="105" t="s">
        <v>182</v>
      </c>
      <c r="E40" s="105" t="s">
        <v>183</v>
      </c>
      <c r="F40" s="105" t="s">
        <v>184</v>
      </c>
      <c r="G40" s="106" t="s">
        <v>185</v>
      </c>
      <c r="H40" s="175"/>
      <c r="I40" s="176"/>
      <c r="J40" s="176"/>
      <c r="K40" s="177"/>
      <c r="L40" s="130">
        <v>1</v>
      </c>
      <c r="M40" s="4">
        <f t="shared" si="5"/>
        <v>12</v>
      </c>
      <c r="N40" s="4">
        <f t="shared" si="6"/>
        <v>23</v>
      </c>
      <c r="O40" s="4">
        <f t="shared" si="7"/>
        <v>575</v>
      </c>
      <c r="P40" s="4">
        <f t="shared" si="8"/>
        <v>1150</v>
      </c>
      <c r="Q40" s="4">
        <f t="shared" si="9"/>
        <v>11500</v>
      </c>
      <c r="R40" s="178"/>
      <c r="S40" s="179"/>
      <c r="T40" s="13">
        <f t="shared" si="3"/>
        <v>0</v>
      </c>
      <c r="U40" s="179"/>
      <c r="V40" s="13">
        <f t="shared" si="4"/>
        <v>0</v>
      </c>
      <c r="W40" s="180"/>
      <c r="X40" s="6">
        <f t="shared" si="0"/>
        <v>0</v>
      </c>
      <c r="Y40" s="180"/>
      <c r="Z40" s="6">
        <f t="shared" si="1"/>
        <v>0</v>
      </c>
      <c r="AA40" s="180"/>
      <c r="AB40" s="6">
        <f t="shared" si="2"/>
        <v>0</v>
      </c>
      <c r="AC40" s="181"/>
      <c r="AD40" s="8"/>
      <c r="AE40" s="8"/>
    </row>
    <row r="41" spans="1:31" ht="15.75" thickBot="1" x14ac:dyDescent="0.3">
      <c r="A41" s="52">
        <v>39</v>
      </c>
      <c r="B41" s="84" t="s">
        <v>186</v>
      </c>
      <c r="C41" s="101" t="s">
        <v>187</v>
      </c>
      <c r="D41" s="116" t="s">
        <v>36</v>
      </c>
      <c r="E41" s="116" t="s">
        <v>188</v>
      </c>
      <c r="F41" s="117" t="s">
        <v>189</v>
      </c>
      <c r="G41" s="2"/>
      <c r="H41" s="32"/>
      <c r="I41" s="2"/>
      <c r="J41" s="2"/>
      <c r="K41" s="164"/>
      <c r="L41" s="133">
        <v>1</v>
      </c>
      <c r="M41" s="4">
        <f>ROUND(L41*10*1.11, 0)</f>
        <v>11</v>
      </c>
      <c r="N41" s="4">
        <f>ROUND(L41*20*1.11,0)</f>
        <v>22</v>
      </c>
      <c r="O41" s="4">
        <f>ROUND(L41*500*1.11,0)</f>
        <v>555</v>
      </c>
      <c r="P41" s="4">
        <f>ROUND(L41*1000*1.11,0)</f>
        <v>1110</v>
      </c>
      <c r="Q41" s="4">
        <f>ROUND(L41*10000*1.11,0)</f>
        <v>11100</v>
      </c>
      <c r="R41" s="145"/>
      <c r="S41" s="56"/>
      <c r="T41" s="13">
        <f t="shared" si="3"/>
        <v>0</v>
      </c>
      <c r="U41" s="56"/>
      <c r="V41" s="13">
        <f t="shared" si="4"/>
        <v>0</v>
      </c>
      <c r="W41" s="6"/>
      <c r="X41" s="6">
        <f t="shared" si="0"/>
        <v>0</v>
      </c>
      <c r="Y41" s="6"/>
      <c r="Z41" s="6">
        <f t="shared" si="1"/>
        <v>0</v>
      </c>
      <c r="AA41" s="6"/>
      <c r="AB41" s="6">
        <f t="shared" si="2"/>
        <v>0</v>
      </c>
      <c r="AC41" s="29"/>
      <c r="AD41" s="8"/>
      <c r="AE41" s="8"/>
    </row>
    <row r="42" spans="1:31" ht="15.75" thickBot="1" x14ac:dyDescent="0.3">
      <c r="A42" s="52">
        <v>40</v>
      </c>
      <c r="B42" s="83"/>
      <c r="C42" s="107" t="s">
        <v>190</v>
      </c>
      <c r="D42" s="118" t="s">
        <v>37</v>
      </c>
      <c r="E42" s="118" t="s">
        <v>191</v>
      </c>
      <c r="F42" s="119" t="s">
        <v>192</v>
      </c>
      <c r="G42" s="34"/>
      <c r="H42" s="35"/>
      <c r="I42" s="9"/>
      <c r="J42" s="9"/>
      <c r="K42" s="36"/>
      <c r="L42" s="134">
        <v>1</v>
      </c>
      <c r="M42" s="4">
        <f t="shared" ref="M42:M48" si="10">ROUND(L42*10*1.11, 0)</f>
        <v>11</v>
      </c>
      <c r="N42" s="4">
        <f t="shared" ref="N42:N48" si="11">ROUND(L42*20*1.11,0)</f>
        <v>22</v>
      </c>
      <c r="O42" s="4">
        <f t="shared" ref="O42:O48" si="12">ROUND(L42*500*1.11,0)</f>
        <v>555</v>
      </c>
      <c r="P42" s="4">
        <f t="shared" ref="P42:P48" si="13">ROUND(L42*1000*1.11,0)</f>
        <v>1110</v>
      </c>
      <c r="Q42" s="4">
        <f t="shared" ref="Q42:Q48" si="14">ROUND(L42*10000*1.11,0)</f>
        <v>11100</v>
      </c>
      <c r="R42" s="17"/>
      <c r="S42" s="57"/>
      <c r="T42" s="13">
        <f t="shared" si="3"/>
        <v>0</v>
      </c>
      <c r="U42" s="57"/>
      <c r="V42" s="13">
        <f t="shared" si="4"/>
        <v>0</v>
      </c>
      <c r="W42" s="13"/>
      <c r="X42" s="6">
        <f t="shared" si="0"/>
        <v>0</v>
      </c>
      <c r="Y42" s="13"/>
      <c r="Z42" s="6">
        <f t="shared" si="1"/>
        <v>0</v>
      </c>
      <c r="AA42" s="13"/>
      <c r="AB42" s="6">
        <f t="shared" si="2"/>
        <v>0</v>
      </c>
      <c r="AC42" s="14"/>
      <c r="AD42" s="8"/>
      <c r="AE42" s="8"/>
    </row>
    <row r="43" spans="1:31" ht="15.75" thickBot="1" x14ac:dyDescent="0.3">
      <c r="A43" s="52">
        <v>41</v>
      </c>
      <c r="B43" s="83"/>
      <c r="C43" s="107" t="s">
        <v>193</v>
      </c>
      <c r="D43" s="118" t="s">
        <v>38</v>
      </c>
      <c r="E43" s="118" t="s">
        <v>194</v>
      </c>
      <c r="F43" s="119" t="s">
        <v>195</v>
      </c>
      <c r="G43" s="34"/>
      <c r="H43" s="35"/>
      <c r="I43" s="9"/>
      <c r="J43" s="9"/>
      <c r="K43" s="36"/>
      <c r="L43" s="134">
        <v>1</v>
      </c>
      <c r="M43" s="4">
        <f t="shared" si="10"/>
        <v>11</v>
      </c>
      <c r="N43" s="4">
        <f t="shared" si="11"/>
        <v>22</v>
      </c>
      <c r="O43" s="4">
        <f t="shared" si="12"/>
        <v>555</v>
      </c>
      <c r="P43" s="4">
        <f t="shared" si="13"/>
        <v>1110</v>
      </c>
      <c r="Q43" s="4">
        <f t="shared" si="14"/>
        <v>11100</v>
      </c>
      <c r="R43" s="17"/>
      <c r="S43" s="57"/>
      <c r="T43" s="13">
        <f t="shared" si="3"/>
        <v>0</v>
      </c>
      <c r="U43" s="57"/>
      <c r="V43" s="13">
        <f t="shared" si="4"/>
        <v>0</v>
      </c>
      <c r="W43" s="13"/>
      <c r="X43" s="6">
        <f t="shared" si="0"/>
        <v>0</v>
      </c>
      <c r="Y43" s="13"/>
      <c r="Z43" s="6">
        <f t="shared" si="1"/>
        <v>0</v>
      </c>
      <c r="AA43" s="13"/>
      <c r="AB43" s="6">
        <f t="shared" si="2"/>
        <v>0</v>
      </c>
      <c r="AC43" s="14"/>
      <c r="AD43" s="8"/>
      <c r="AE43" s="8"/>
    </row>
    <row r="44" spans="1:31" ht="15.75" thickBot="1" x14ac:dyDescent="0.3">
      <c r="A44" s="52">
        <v>42</v>
      </c>
      <c r="B44" s="83"/>
      <c r="C44" s="102" t="s">
        <v>196</v>
      </c>
      <c r="D44" s="118" t="s">
        <v>39</v>
      </c>
      <c r="E44" s="118" t="s">
        <v>188</v>
      </c>
      <c r="F44" s="119" t="s">
        <v>197</v>
      </c>
      <c r="G44" s="9" t="s">
        <v>198</v>
      </c>
      <c r="H44" s="35"/>
      <c r="I44" s="9"/>
      <c r="J44" s="9"/>
      <c r="K44" s="36"/>
      <c r="L44" s="134">
        <v>1</v>
      </c>
      <c r="M44" s="4">
        <f t="shared" si="10"/>
        <v>11</v>
      </c>
      <c r="N44" s="4">
        <f t="shared" si="11"/>
        <v>22</v>
      </c>
      <c r="O44" s="4">
        <f t="shared" si="12"/>
        <v>555</v>
      </c>
      <c r="P44" s="4">
        <f t="shared" si="13"/>
        <v>1110</v>
      </c>
      <c r="Q44" s="4">
        <f t="shared" si="14"/>
        <v>11100</v>
      </c>
      <c r="R44" s="17"/>
      <c r="S44" s="57"/>
      <c r="T44" s="13">
        <f t="shared" si="3"/>
        <v>0</v>
      </c>
      <c r="U44" s="57"/>
      <c r="V44" s="13">
        <f t="shared" si="4"/>
        <v>0</v>
      </c>
      <c r="W44" s="13"/>
      <c r="X44" s="6">
        <f t="shared" si="0"/>
        <v>0</v>
      </c>
      <c r="Y44" s="13"/>
      <c r="Z44" s="6">
        <f t="shared" si="1"/>
        <v>0</v>
      </c>
      <c r="AA44" s="13"/>
      <c r="AB44" s="6">
        <f t="shared" si="2"/>
        <v>0</v>
      </c>
      <c r="AC44" s="14"/>
      <c r="AD44" s="8"/>
      <c r="AE44" s="8"/>
    </row>
    <row r="45" spans="1:31" ht="15.75" thickBot="1" x14ac:dyDescent="0.3">
      <c r="A45" s="52">
        <v>43</v>
      </c>
      <c r="B45" s="83"/>
      <c r="C45" s="102" t="s">
        <v>199</v>
      </c>
      <c r="D45" s="118" t="s">
        <v>200</v>
      </c>
      <c r="E45" s="118" t="s">
        <v>201</v>
      </c>
      <c r="F45" s="119" t="s">
        <v>202</v>
      </c>
      <c r="G45" s="34" t="s">
        <v>198</v>
      </c>
      <c r="H45" s="30"/>
      <c r="I45" s="9"/>
      <c r="J45" s="9"/>
      <c r="K45" s="11"/>
      <c r="L45" s="134">
        <v>1</v>
      </c>
      <c r="M45" s="4">
        <f t="shared" si="10"/>
        <v>11</v>
      </c>
      <c r="N45" s="4">
        <f t="shared" si="11"/>
        <v>22</v>
      </c>
      <c r="O45" s="4">
        <f t="shared" si="12"/>
        <v>555</v>
      </c>
      <c r="P45" s="4">
        <f t="shared" si="13"/>
        <v>1110</v>
      </c>
      <c r="Q45" s="4">
        <f t="shared" si="14"/>
        <v>11100</v>
      </c>
      <c r="R45" s="12"/>
      <c r="S45" s="57"/>
      <c r="T45" s="13">
        <f t="shared" si="3"/>
        <v>0</v>
      </c>
      <c r="U45" s="57"/>
      <c r="V45" s="13">
        <f t="shared" si="4"/>
        <v>0</v>
      </c>
      <c r="W45" s="13"/>
      <c r="X45" s="6">
        <f t="shared" si="0"/>
        <v>0</v>
      </c>
      <c r="Y45" s="13"/>
      <c r="Z45" s="6">
        <f t="shared" si="1"/>
        <v>0</v>
      </c>
      <c r="AA45" s="13"/>
      <c r="AB45" s="6">
        <f t="shared" si="2"/>
        <v>0</v>
      </c>
      <c r="AC45" s="14"/>
      <c r="AD45" s="8"/>
      <c r="AE45" s="8"/>
    </row>
    <row r="46" spans="1:31" ht="15.75" thickBot="1" x14ac:dyDescent="0.3">
      <c r="A46" s="52">
        <v>44</v>
      </c>
      <c r="B46" s="83"/>
      <c r="C46" s="107" t="s">
        <v>203</v>
      </c>
      <c r="D46" s="118" t="s">
        <v>41</v>
      </c>
      <c r="E46" s="118" t="s">
        <v>204</v>
      </c>
      <c r="F46" s="119" t="s">
        <v>205</v>
      </c>
      <c r="G46" s="34" t="s">
        <v>206</v>
      </c>
      <c r="H46" s="10"/>
      <c r="I46" s="9"/>
      <c r="J46" s="9"/>
      <c r="K46" s="11"/>
      <c r="L46" s="134">
        <v>1</v>
      </c>
      <c r="M46" s="4">
        <f t="shared" si="10"/>
        <v>11</v>
      </c>
      <c r="N46" s="4">
        <f t="shared" si="11"/>
        <v>22</v>
      </c>
      <c r="O46" s="4">
        <f t="shared" si="12"/>
        <v>555</v>
      </c>
      <c r="P46" s="4">
        <f t="shared" si="13"/>
        <v>1110</v>
      </c>
      <c r="Q46" s="4">
        <f t="shared" si="14"/>
        <v>11100</v>
      </c>
      <c r="R46" s="12"/>
      <c r="S46" s="57"/>
      <c r="T46" s="13">
        <f t="shared" si="3"/>
        <v>0</v>
      </c>
      <c r="U46" s="58"/>
      <c r="V46" s="13">
        <f t="shared" si="4"/>
        <v>0</v>
      </c>
      <c r="W46" s="13"/>
      <c r="X46" s="6">
        <f t="shared" si="0"/>
        <v>0</v>
      </c>
      <c r="Y46" s="13"/>
      <c r="Z46" s="6">
        <f t="shared" si="1"/>
        <v>0</v>
      </c>
      <c r="AA46" s="13"/>
      <c r="AB46" s="6">
        <f t="shared" si="2"/>
        <v>0</v>
      </c>
      <c r="AC46" s="14"/>
      <c r="AD46" s="8"/>
      <c r="AE46" s="8"/>
    </row>
    <row r="47" spans="1:31" ht="15.75" thickBot="1" x14ac:dyDescent="0.3">
      <c r="A47" s="52">
        <v>45</v>
      </c>
      <c r="B47" s="83"/>
      <c r="C47" s="120" t="s">
        <v>207</v>
      </c>
      <c r="D47" s="15" t="s">
        <v>42</v>
      </c>
      <c r="E47" s="121" t="s">
        <v>208</v>
      </c>
      <c r="F47" s="15" t="s">
        <v>209</v>
      </c>
      <c r="G47" s="9" t="s">
        <v>198</v>
      </c>
      <c r="H47" s="30"/>
      <c r="I47" s="9"/>
      <c r="J47" s="9"/>
      <c r="K47" s="11"/>
      <c r="L47" s="10">
        <v>1</v>
      </c>
      <c r="M47" s="4">
        <f t="shared" si="10"/>
        <v>11</v>
      </c>
      <c r="N47" s="4">
        <f t="shared" si="11"/>
        <v>22</v>
      </c>
      <c r="O47" s="4">
        <f t="shared" si="12"/>
        <v>555</v>
      </c>
      <c r="P47" s="4">
        <f t="shared" si="13"/>
        <v>1110</v>
      </c>
      <c r="Q47" s="4">
        <f t="shared" si="14"/>
        <v>11100</v>
      </c>
      <c r="R47" s="12"/>
      <c r="S47" s="57"/>
      <c r="T47" s="13">
        <f t="shared" si="3"/>
        <v>0</v>
      </c>
      <c r="U47" s="57"/>
      <c r="V47" s="13">
        <f t="shared" si="4"/>
        <v>0</v>
      </c>
      <c r="W47" s="13"/>
      <c r="X47" s="6">
        <f t="shared" si="0"/>
        <v>0</v>
      </c>
      <c r="Y47" s="13"/>
      <c r="Z47" s="6">
        <f t="shared" si="1"/>
        <v>0</v>
      </c>
      <c r="AA47" s="13"/>
      <c r="AB47" s="6">
        <f t="shared" si="2"/>
        <v>0</v>
      </c>
      <c r="AC47" s="38"/>
      <c r="AD47" s="8"/>
      <c r="AE47" s="8"/>
    </row>
    <row r="48" spans="1:31" ht="15.75" thickBot="1" x14ac:dyDescent="0.3">
      <c r="A48" s="52">
        <v>46</v>
      </c>
      <c r="B48" s="85"/>
      <c r="C48" s="122" t="s">
        <v>210</v>
      </c>
      <c r="D48" s="19" t="s">
        <v>40</v>
      </c>
      <c r="E48" s="123" t="s">
        <v>211</v>
      </c>
      <c r="F48" s="19" t="s">
        <v>212</v>
      </c>
      <c r="G48" s="19" t="s">
        <v>206</v>
      </c>
      <c r="H48" s="20"/>
      <c r="I48" s="20"/>
      <c r="J48" s="20"/>
      <c r="K48" s="20"/>
      <c r="L48" s="21">
        <v>1</v>
      </c>
      <c r="M48" s="4">
        <f t="shared" si="10"/>
        <v>11</v>
      </c>
      <c r="N48" s="4">
        <f t="shared" si="11"/>
        <v>22</v>
      </c>
      <c r="O48" s="4">
        <f t="shared" si="12"/>
        <v>555</v>
      </c>
      <c r="P48" s="4">
        <f t="shared" si="13"/>
        <v>1110</v>
      </c>
      <c r="Q48" s="4">
        <f t="shared" si="14"/>
        <v>11100</v>
      </c>
      <c r="R48" s="157"/>
      <c r="S48" s="182"/>
      <c r="T48" s="13">
        <f t="shared" si="3"/>
        <v>0</v>
      </c>
      <c r="U48" s="182"/>
      <c r="V48" s="13">
        <f t="shared" si="4"/>
        <v>0</v>
      </c>
      <c r="W48" s="25"/>
      <c r="X48" s="6">
        <f t="shared" si="0"/>
        <v>0</v>
      </c>
      <c r="Y48" s="25"/>
      <c r="Z48" s="6">
        <f t="shared" si="1"/>
        <v>0</v>
      </c>
      <c r="AA48" s="25"/>
      <c r="AB48" s="6">
        <f t="shared" si="2"/>
        <v>0</v>
      </c>
      <c r="AC48" s="26"/>
      <c r="AD48" s="8"/>
      <c r="AE48" s="8"/>
    </row>
    <row r="49" spans="1:31" ht="15.75" thickBot="1" x14ac:dyDescent="0.3">
      <c r="A49" s="52">
        <v>47</v>
      </c>
      <c r="B49" s="84" t="s">
        <v>213</v>
      </c>
      <c r="C49" s="124" t="s">
        <v>214</v>
      </c>
      <c r="D49" s="116" t="s">
        <v>43</v>
      </c>
      <c r="E49" s="117" t="s">
        <v>178</v>
      </c>
      <c r="F49" s="117" t="s">
        <v>215</v>
      </c>
      <c r="G49" s="1" t="s">
        <v>216</v>
      </c>
      <c r="H49" s="3"/>
      <c r="I49" s="28"/>
      <c r="J49" s="2"/>
      <c r="K49" s="4"/>
      <c r="L49" s="135">
        <v>1</v>
      </c>
      <c r="M49" s="4">
        <f t="shared" ref="M49:M52" si="15">L49*10</f>
        <v>10</v>
      </c>
      <c r="N49" s="4">
        <f t="shared" ref="N49:N52" si="16">L49*20</f>
        <v>20</v>
      </c>
      <c r="O49" s="4">
        <f t="shared" ref="O49:O52" si="17">L49*500</f>
        <v>500</v>
      </c>
      <c r="P49" s="4">
        <f t="shared" ref="P49:P52" si="18">L49*1000</f>
        <v>1000</v>
      </c>
      <c r="Q49" s="4">
        <f t="shared" ref="Q49:Q52" si="19">L49*10000</f>
        <v>10000</v>
      </c>
      <c r="R49" s="5"/>
      <c r="S49" s="169"/>
      <c r="T49" s="13">
        <f t="shared" si="3"/>
        <v>0</v>
      </c>
      <c r="U49" s="169"/>
      <c r="V49" s="13">
        <f t="shared" si="4"/>
        <v>0</v>
      </c>
      <c r="W49" s="6"/>
      <c r="X49" s="6">
        <f t="shared" si="0"/>
        <v>0</v>
      </c>
      <c r="Y49" s="6"/>
      <c r="Z49" s="6">
        <f t="shared" si="1"/>
        <v>0</v>
      </c>
      <c r="AA49" s="6"/>
      <c r="AB49" s="6">
        <f t="shared" si="2"/>
        <v>0</v>
      </c>
      <c r="AC49" s="7"/>
      <c r="AD49" s="8"/>
      <c r="AE49" s="8"/>
    </row>
    <row r="50" spans="1:31" ht="15.75" thickBot="1" x14ac:dyDescent="0.3">
      <c r="A50" s="52">
        <v>48</v>
      </c>
      <c r="B50" s="83"/>
      <c r="C50" s="107" t="s">
        <v>217</v>
      </c>
      <c r="D50" s="118" t="s">
        <v>218</v>
      </c>
      <c r="E50" s="119" t="s">
        <v>178</v>
      </c>
      <c r="F50" s="119" t="s">
        <v>219</v>
      </c>
      <c r="G50" s="9"/>
      <c r="H50" s="30"/>
      <c r="I50" s="30"/>
      <c r="J50" s="9"/>
      <c r="K50" s="11"/>
      <c r="L50" s="136">
        <v>1</v>
      </c>
      <c r="M50" s="11">
        <f t="shared" si="15"/>
        <v>10</v>
      </c>
      <c r="N50" s="11">
        <f t="shared" si="16"/>
        <v>20</v>
      </c>
      <c r="O50" s="11">
        <f t="shared" si="17"/>
        <v>500</v>
      </c>
      <c r="P50" s="11">
        <f t="shared" si="18"/>
        <v>1000</v>
      </c>
      <c r="Q50" s="11">
        <f t="shared" si="19"/>
        <v>10000</v>
      </c>
      <c r="R50" s="12"/>
      <c r="S50" s="57"/>
      <c r="T50" s="13">
        <f t="shared" si="3"/>
        <v>0</v>
      </c>
      <c r="U50" s="57"/>
      <c r="V50" s="13">
        <f t="shared" si="4"/>
        <v>0</v>
      </c>
      <c r="W50" s="13"/>
      <c r="X50" s="6">
        <f t="shared" si="0"/>
        <v>0</v>
      </c>
      <c r="Y50" s="13"/>
      <c r="Z50" s="6">
        <f t="shared" si="1"/>
        <v>0</v>
      </c>
      <c r="AA50" s="13"/>
      <c r="AB50" s="6">
        <f t="shared" si="2"/>
        <v>0</v>
      </c>
      <c r="AC50" s="14"/>
      <c r="AD50" s="8"/>
      <c r="AE50" s="8"/>
    </row>
    <row r="51" spans="1:31" ht="15.75" thickBot="1" x14ac:dyDescent="0.3">
      <c r="A51" s="52">
        <v>49</v>
      </c>
      <c r="B51" s="83"/>
      <c r="C51" s="102" t="s">
        <v>220</v>
      </c>
      <c r="D51" s="118" t="s">
        <v>221</v>
      </c>
      <c r="E51" s="119" t="s">
        <v>178</v>
      </c>
      <c r="F51" s="119" t="s">
        <v>222</v>
      </c>
      <c r="G51" s="9" t="s">
        <v>223</v>
      </c>
      <c r="H51" s="10"/>
      <c r="I51" s="10"/>
      <c r="J51" s="9"/>
      <c r="K51" s="11"/>
      <c r="L51" s="136">
        <v>2</v>
      </c>
      <c r="M51" s="11">
        <f t="shared" si="15"/>
        <v>20</v>
      </c>
      <c r="N51" s="11">
        <f t="shared" si="16"/>
        <v>40</v>
      </c>
      <c r="O51" s="11">
        <f t="shared" si="17"/>
        <v>1000</v>
      </c>
      <c r="P51" s="11">
        <f t="shared" si="18"/>
        <v>2000</v>
      </c>
      <c r="Q51" s="11">
        <f t="shared" si="19"/>
        <v>20000</v>
      </c>
      <c r="R51" s="12"/>
      <c r="S51" s="57"/>
      <c r="T51" s="13">
        <f t="shared" si="3"/>
        <v>0</v>
      </c>
      <c r="U51" s="58"/>
      <c r="V51" s="13">
        <f t="shared" si="4"/>
        <v>0</v>
      </c>
      <c r="W51" s="13"/>
      <c r="X51" s="6">
        <f t="shared" si="0"/>
        <v>0</v>
      </c>
      <c r="Y51" s="13"/>
      <c r="Z51" s="6">
        <f t="shared" si="1"/>
        <v>0</v>
      </c>
      <c r="AA51" s="13"/>
      <c r="AB51" s="6">
        <f t="shared" si="2"/>
        <v>0</v>
      </c>
      <c r="AC51" s="38"/>
      <c r="AD51" s="8"/>
      <c r="AE51" s="8"/>
    </row>
    <row r="52" spans="1:31" ht="15.75" thickBot="1" x14ac:dyDescent="0.3">
      <c r="A52" s="52">
        <v>50</v>
      </c>
      <c r="B52" s="85"/>
      <c r="C52" s="103" t="s">
        <v>224</v>
      </c>
      <c r="D52" s="125" t="s">
        <v>44</v>
      </c>
      <c r="E52" s="126" t="s">
        <v>225</v>
      </c>
      <c r="F52" s="126" t="s">
        <v>226</v>
      </c>
      <c r="G52" s="20"/>
      <c r="H52" s="170"/>
      <c r="I52" s="20"/>
      <c r="J52" s="20"/>
      <c r="K52" s="163"/>
      <c r="L52" s="137">
        <v>1</v>
      </c>
      <c r="M52" s="23">
        <f t="shared" si="15"/>
        <v>10</v>
      </c>
      <c r="N52" s="23">
        <f t="shared" si="16"/>
        <v>20</v>
      </c>
      <c r="O52" s="23">
        <f t="shared" si="17"/>
        <v>500</v>
      </c>
      <c r="P52" s="23">
        <f t="shared" si="18"/>
        <v>1000</v>
      </c>
      <c r="Q52" s="23">
        <f t="shared" si="19"/>
        <v>10000</v>
      </c>
      <c r="R52" s="171"/>
      <c r="S52" s="172"/>
      <c r="T52" s="13">
        <f t="shared" si="3"/>
        <v>0</v>
      </c>
      <c r="U52" s="173"/>
      <c r="V52" s="13">
        <f t="shared" si="4"/>
        <v>0</v>
      </c>
      <c r="W52" s="25"/>
      <c r="X52" s="6">
        <f t="shared" si="0"/>
        <v>0</v>
      </c>
      <c r="Y52" s="25"/>
      <c r="Z52" s="6">
        <f t="shared" si="1"/>
        <v>0</v>
      </c>
      <c r="AA52" s="25"/>
      <c r="AB52" s="6">
        <f t="shared" si="2"/>
        <v>0</v>
      </c>
      <c r="AC52" s="26"/>
      <c r="AD52" s="8"/>
      <c r="AE52" s="8"/>
    </row>
    <row r="53" spans="1:31" ht="15.75" thickBot="1" x14ac:dyDescent="0.3">
      <c r="H53" s="45"/>
      <c r="I53" s="45"/>
      <c r="J53" s="45"/>
      <c r="K53" s="45"/>
      <c r="L53" s="86" t="s">
        <v>45</v>
      </c>
      <c r="M53" s="86"/>
      <c r="N53" s="86"/>
      <c r="O53" s="86"/>
      <c r="P53" s="86"/>
      <c r="Q53" s="86"/>
      <c r="R53" s="86"/>
      <c r="S53" s="86"/>
      <c r="T53" s="49"/>
      <c r="U53" s="49"/>
      <c r="V53" s="41">
        <f>SUM(V3:V51)</f>
        <v>52.192699999999995</v>
      </c>
      <c r="W53" s="41"/>
      <c r="X53" s="41"/>
      <c r="Y53" s="41"/>
      <c r="Z53" s="41"/>
      <c r="AA53" s="41"/>
      <c r="AB53" s="41"/>
      <c r="AC53" s="45"/>
      <c r="AD53" s="8"/>
      <c r="AE53" s="8"/>
    </row>
    <row r="54" spans="1:31" x14ac:dyDescent="0.25">
      <c r="H54" s="45"/>
      <c r="I54" s="45"/>
      <c r="J54" s="47"/>
      <c r="K54" s="45"/>
      <c r="L54" s="80" t="s">
        <v>46</v>
      </c>
      <c r="M54" s="80"/>
      <c r="N54" s="80"/>
      <c r="O54" s="80"/>
      <c r="P54" s="80"/>
      <c r="Q54" s="80"/>
      <c r="R54" s="80"/>
      <c r="S54" s="80"/>
      <c r="T54" s="41">
        <f>SUM(T3:T51)</f>
        <v>28.555699999999998</v>
      </c>
      <c r="U54" s="46"/>
      <c r="V54" s="48">
        <f>V53/5</f>
        <v>10.43854</v>
      </c>
      <c r="W54" s="48"/>
      <c r="X54" s="48"/>
      <c r="Y54" s="48"/>
      <c r="Z54" s="48"/>
      <c r="AA54" s="48"/>
      <c r="AB54" s="48"/>
      <c r="AC54" s="45"/>
      <c r="AD54" s="8"/>
      <c r="AE54" s="8"/>
    </row>
    <row r="55" spans="1:31" x14ac:dyDescent="0.25">
      <c r="I55" s="43"/>
      <c r="J55" s="43"/>
      <c r="AD55" s="8"/>
      <c r="AE55" s="8"/>
    </row>
    <row r="56" spans="1:31" x14ac:dyDescent="0.25">
      <c r="J56" s="42"/>
      <c r="AD56" s="8"/>
      <c r="AE56" s="8"/>
    </row>
    <row r="57" spans="1:31" x14ac:dyDescent="0.25">
      <c r="I57" s="43"/>
      <c r="J57" s="43"/>
      <c r="AD57" s="8"/>
      <c r="AE57" s="8"/>
    </row>
    <row r="58" spans="1:31" x14ac:dyDescent="0.25">
      <c r="AD58" s="8"/>
      <c r="AE58" s="8"/>
    </row>
    <row r="59" spans="1:31" x14ac:dyDescent="0.25">
      <c r="AD59" s="8"/>
      <c r="AE59" s="8"/>
    </row>
    <row r="60" spans="1:31" x14ac:dyDescent="0.25">
      <c r="AD60" s="8"/>
      <c r="AE60" s="8"/>
    </row>
    <row r="61" spans="1:31" x14ac:dyDescent="0.25">
      <c r="AD61" s="8"/>
      <c r="AE61" s="8"/>
    </row>
  </sheetData>
  <mergeCells count="11">
    <mergeCell ref="B49:B52"/>
    <mergeCell ref="L54:S54"/>
    <mergeCell ref="A1:AC1"/>
    <mergeCell ref="L53:S53"/>
    <mergeCell ref="B3:B12"/>
    <mergeCell ref="B13:B15"/>
    <mergeCell ref="B17:B19"/>
    <mergeCell ref="B20:B21"/>
    <mergeCell ref="B23:B37"/>
    <mergeCell ref="B38:B39"/>
    <mergeCell ref="B41:B48"/>
  </mergeCells>
  <conditionalFormatting sqref="AC47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{E93E5041-7595-4B70-A4DE-203BDFD45186}</x14:id>
        </ext>
      </extLst>
    </cfRule>
  </conditionalFormatting>
  <conditionalFormatting sqref="AC41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{301945FE-B701-4118-A9C3-5DA9DF529466}</x14:id>
        </ext>
      </extLst>
    </cfRule>
  </conditionalFormatting>
  <conditionalFormatting sqref="AC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AC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R3:R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R45:R5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{A402283A-49C9-49C3-9204-C80C4705ACAA}</x14:id>
        </ext>
      </extLst>
    </cfRule>
  </conditionalFormatting>
  <conditionalFormatting sqref="R20:R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R31:R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AC5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{7D9785A5-B7CB-4186-8A59-C6DD0A9D39F0}</x14:id>
        </ext>
      </extLst>
    </cfRule>
  </conditionalFormatting>
  <conditionalFormatting sqref="M3:Q5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AB52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conditionalFormatting sqref="L3:L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4:AB54">
    <cfRule type="dataBar" priority="4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3:T52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hyperlinks>
    <hyperlink ref="R3" r:id="rId1"/>
    <hyperlink ref="R4" r:id="rId2"/>
    <hyperlink ref="R5" r:id="rId3"/>
    <hyperlink ref="R6" r:id="rId4"/>
    <hyperlink ref="R7" r:id="rId5"/>
    <hyperlink ref="R8" r:id="rId6"/>
    <hyperlink ref="R9" r:id="rId7"/>
    <hyperlink ref="R10" r:id="rId8"/>
    <hyperlink ref="R11" r:id="rId9"/>
    <hyperlink ref="R12" r:id="rId10"/>
    <hyperlink ref="R13" r:id="rId11"/>
    <hyperlink ref="R16" r:id="rId12"/>
    <hyperlink ref="R17" r:id="rId13"/>
    <hyperlink ref="R18" r:id="rId14"/>
    <hyperlink ref="R19" r:id="rId15"/>
    <hyperlink ref="R22" r:id="rId16"/>
    <hyperlink ref="R23" r:id="rId17"/>
    <hyperlink ref="R24" r:id="rId18"/>
    <hyperlink ref="R25" r:id="rId19"/>
    <hyperlink ref="R26" r:id="rId20"/>
    <hyperlink ref="R28" r:id="rId21"/>
  </hyperlinks>
  <pageMargins left="0.7" right="0.7" top="0.75" bottom="0.75" header="0.3" footer="0.3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3E5041-7595-4B70-A4DE-203BDFD4518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AC47</xm:sqref>
        </x14:conditionalFormatting>
        <x14:conditionalFormatting xmlns:xm="http://schemas.microsoft.com/office/excel/2006/main">
          <x14:cfRule type="dataBar" id="{301945FE-B701-4118-A9C3-5DA9DF52946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AC41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AC18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AC13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R3:R5</xm:sqref>
        </x14:conditionalFormatting>
        <x14:conditionalFormatting xmlns:xm="http://schemas.microsoft.com/office/excel/2006/main">
          <x14:cfRule type="dataBar" id="{A402283A-49C9-49C3-9204-C80C4705AC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R45:R51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R20:R22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R31:R35</xm:sqref>
        </x14:conditionalFormatting>
        <x14:conditionalFormatting xmlns:xm="http://schemas.microsoft.com/office/excel/2006/main">
          <x14:cfRule type="dataBar" id="{7D9785A5-B7CB-4186-8A59-C6DD0A9D39F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AC51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V3:AB52</xm:sqref>
        </x14:conditionalFormatting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T54:AB54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T3:T52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2021-10-14T16:21:02Z</dcterms:modified>
</cp:coreProperties>
</file>