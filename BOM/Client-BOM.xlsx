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18"/>
  <workbookPr/>
  <mc:AlternateContent xmlns:mc="http://schemas.openxmlformats.org/markup-compatibility/2006">
    <mc:Choice Requires="x15">
      <x15ac:absPath xmlns:x15ac="http://schemas.microsoft.com/office/spreadsheetml/2010/11/ac" url="D:\Github\BriacBarthes-PhoneCharger\BOM\"/>
    </mc:Choice>
  </mc:AlternateContent>
  <xr:revisionPtr revIDLastSave="0" documentId="13_ncr:1_{686C5B5D-C70E-47A7-859D-EF66493EF50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Bria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45" i="1" l="1"/>
  <c r="R19" i="1"/>
  <c r="P19" i="1"/>
  <c r="K39" i="1"/>
  <c r="L39" i="1"/>
  <c r="M39" i="1"/>
  <c r="T23" i="1" l="1"/>
  <c r="R23" i="1"/>
  <c r="P23" i="1"/>
  <c r="R4" i="1" l="1"/>
  <c r="R5" i="1"/>
  <c r="R6" i="1"/>
  <c r="R7" i="1"/>
  <c r="R8" i="1"/>
  <c r="R9" i="1"/>
  <c r="R10" i="1"/>
  <c r="L11" i="1"/>
  <c r="R11" i="1" s="1"/>
  <c r="L12" i="1"/>
  <c r="R12" i="1" s="1"/>
  <c r="L13" i="1"/>
  <c r="R13" i="1" s="1"/>
  <c r="L14" i="1"/>
  <c r="R14" i="1" s="1"/>
  <c r="R15" i="1"/>
  <c r="R16" i="1"/>
  <c r="R17" i="1"/>
  <c r="R18" i="1"/>
  <c r="R20" i="1"/>
  <c r="R21" i="1"/>
  <c r="R22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L40" i="1"/>
  <c r="R40" i="1" s="1"/>
  <c r="L41" i="1"/>
  <c r="R41" i="1" s="1"/>
  <c r="L42" i="1"/>
  <c r="R42" i="1" s="1"/>
  <c r="L43" i="1"/>
  <c r="R43" i="1" s="1"/>
  <c r="L44" i="1"/>
  <c r="R44" i="1" s="1"/>
  <c r="L45" i="1"/>
  <c r="L46" i="1"/>
  <c r="R46" i="1" s="1"/>
  <c r="L47" i="1"/>
  <c r="R47" i="1" s="1"/>
  <c r="L48" i="1"/>
  <c r="R48" i="1" s="1"/>
  <c r="L49" i="1"/>
  <c r="R49" i="1" s="1"/>
  <c r="L50" i="1"/>
  <c r="R50" i="1" s="1"/>
  <c r="R51" i="1"/>
  <c r="P4" i="1"/>
  <c r="P5" i="1"/>
  <c r="P6" i="1"/>
  <c r="P7" i="1"/>
  <c r="P8" i="1"/>
  <c r="P9" i="1"/>
  <c r="P10" i="1"/>
  <c r="K11" i="1"/>
  <c r="P11" i="1" s="1"/>
  <c r="P12" i="1"/>
  <c r="K13" i="1"/>
  <c r="P13" i="1" s="1"/>
  <c r="P14" i="1"/>
  <c r="P16" i="1"/>
  <c r="P17" i="1"/>
  <c r="P18" i="1"/>
  <c r="P20" i="1"/>
  <c r="P21" i="1"/>
  <c r="P22" i="1"/>
  <c r="P24" i="1"/>
  <c r="P25" i="1"/>
  <c r="P26" i="1"/>
  <c r="P27" i="1"/>
  <c r="P28" i="1"/>
  <c r="P29" i="1"/>
  <c r="P30" i="1"/>
  <c r="P31" i="1"/>
  <c r="P32" i="1"/>
  <c r="P33" i="1"/>
  <c r="K34" i="1"/>
  <c r="P34" i="1" s="1"/>
  <c r="P35" i="1"/>
  <c r="P36" i="1"/>
  <c r="P37" i="1"/>
  <c r="P38" i="1"/>
  <c r="P39" i="1"/>
  <c r="K40" i="1"/>
  <c r="P40" i="1" s="1"/>
  <c r="K41" i="1"/>
  <c r="P41" i="1" s="1"/>
  <c r="K42" i="1"/>
  <c r="P42" i="1" s="1"/>
  <c r="K43" i="1"/>
  <c r="P43" i="1" s="1"/>
  <c r="K44" i="1"/>
  <c r="P44" i="1" s="1"/>
  <c r="K45" i="1"/>
  <c r="P45" i="1" s="1"/>
  <c r="K46" i="1"/>
  <c r="P46" i="1" s="1"/>
  <c r="K47" i="1"/>
  <c r="P47" i="1" s="1"/>
  <c r="K48" i="1"/>
  <c r="P48" i="1" s="1"/>
  <c r="K49" i="1"/>
  <c r="P49" i="1" s="1"/>
  <c r="P50" i="1"/>
  <c r="P51" i="1"/>
  <c r="R3" i="1"/>
  <c r="P3" i="1"/>
  <c r="P52" i="1" l="1"/>
  <c r="P53" i="1" s="1"/>
  <c r="T4" i="1"/>
  <c r="T25" i="1"/>
  <c r="T33" i="1"/>
  <c r="T5" i="1"/>
  <c r="T6" i="1"/>
  <c r="T7" i="1"/>
  <c r="T8" i="1"/>
  <c r="T9" i="1"/>
  <c r="T10" i="1"/>
  <c r="M11" i="1"/>
  <c r="T11" i="1" s="1"/>
  <c r="M12" i="1"/>
  <c r="T12" i="1" s="1"/>
  <c r="M13" i="1"/>
  <c r="T13" i="1" s="1"/>
  <c r="M14" i="1"/>
  <c r="T14" i="1" s="1"/>
  <c r="T15" i="1"/>
  <c r="T16" i="1"/>
  <c r="T17" i="1"/>
  <c r="T18" i="1"/>
  <c r="T19" i="1"/>
  <c r="T20" i="1"/>
  <c r="T21" i="1"/>
  <c r="T22" i="1"/>
  <c r="T24" i="1"/>
  <c r="T26" i="1"/>
  <c r="T27" i="1"/>
  <c r="T28" i="1"/>
  <c r="T29" i="1"/>
  <c r="T30" i="1"/>
  <c r="T31" i="1"/>
  <c r="T32" i="1"/>
  <c r="T34" i="1"/>
  <c r="T35" i="1"/>
  <c r="T36" i="1"/>
  <c r="T37" i="1"/>
  <c r="T38" i="1"/>
  <c r="T39" i="1"/>
  <c r="M40" i="1"/>
  <c r="T40" i="1" s="1"/>
  <c r="M41" i="1"/>
  <c r="T41" i="1" s="1"/>
  <c r="M42" i="1"/>
  <c r="T42" i="1" s="1"/>
  <c r="M43" i="1"/>
  <c r="T43" i="1" s="1"/>
  <c r="M44" i="1"/>
  <c r="T44" i="1" s="1"/>
  <c r="M45" i="1"/>
  <c r="T45" i="1" s="1"/>
  <c r="M46" i="1"/>
  <c r="T46" i="1" s="1"/>
  <c r="M47" i="1"/>
  <c r="T47" i="1" s="1"/>
  <c r="M48" i="1"/>
  <c r="T48" i="1" s="1"/>
  <c r="M49" i="1"/>
  <c r="T49" i="1" s="1"/>
  <c r="T50" i="1"/>
  <c r="T51" i="1"/>
  <c r="T3" i="1"/>
  <c r="T52" i="1" l="1"/>
  <c r="T53" i="1" s="1"/>
  <c r="R52" i="1"/>
  <c r="R53" i="1" s="1"/>
</calcChain>
</file>

<file path=xl/sharedStrings.xml><?xml version="1.0" encoding="utf-8"?>
<sst xmlns="http://schemas.openxmlformats.org/spreadsheetml/2006/main" count="431" uniqueCount="283">
  <si>
    <t>Description</t>
  </si>
  <si>
    <t>Designator</t>
  </si>
  <si>
    <t>Manufacturer</t>
  </si>
  <si>
    <t>Manufacturer Part Number</t>
  </si>
  <si>
    <t>0.1uF</t>
  </si>
  <si>
    <t>J1</t>
  </si>
  <si>
    <t>100K</t>
  </si>
  <si>
    <t>U6</t>
  </si>
  <si>
    <t>S. No.</t>
  </si>
  <si>
    <t>Components</t>
  </si>
  <si>
    <t>Footprint (Package)</t>
  </si>
  <si>
    <t>Alternate</t>
  </si>
  <si>
    <t>Value</t>
  </si>
  <si>
    <t>Remarks</t>
  </si>
  <si>
    <t>Capacitor</t>
  </si>
  <si>
    <t>Diode</t>
  </si>
  <si>
    <t>Resistor</t>
  </si>
  <si>
    <t>Digikey</t>
  </si>
  <si>
    <t xml:space="preserve">Total Component Cost </t>
  </si>
  <si>
    <t>Single Board Cost</t>
  </si>
  <si>
    <t>1uF</t>
  </si>
  <si>
    <t>22uF</t>
  </si>
  <si>
    <t>10uF</t>
  </si>
  <si>
    <t>SMA</t>
  </si>
  <si>
    <t>R4</t>
  </si>
  <si>
    <t>R8</t>
  </si>
  <si>
    <t>10K</t>
  </si>
  <si>
    <t>Mosfet</t>
  </si>
  <si>
    <t>L1</t>
  </si>
  <si>
    <t>L2</t>
  </si>
  <si>
    <t>Inductor</t>
  </si>
  <si>
    <t>10uH</t>
  </si>
  <si>
    <t>U1</t>
  </si>
  <si>
    <t>U2</t>
  </si>
  <si>
    <t>U3</t>
  </si>
  <si>
    <t>U4</t>
  </si>
  <si>
    <t>U7</t>
  </si>
  <si>
    <t>U8</t>
  </si>
  <si>
    <t xml:space="preserve">Unit cost (1000) </t>
  </si>
  <si>
    <t>Total Cost(1000)</t>
  </si>
  <si>
    <t>Quantity 1000</t>
  </si>
  <si>
    <t>Link</t>
  </si>
  <si>
    <t>Quantity (per Board)</t>
  </si>
  <si>
    <t>C16</t>
  </si>
  <si>
    <t>100pF</t>
  </si>
  <si>
    <t>SS34</t>
  </si>
  <si>
    <t>L3</t>
  </si>
  <si>
    <t>4.7uH</t>
  </si>
  <si>
    <t>1uH</t>
  </si>
  <si>
    <t>MGFL2012F100MT-LF</t>
  </si>
  <si>
    <t>SI2302-TP</t>
  </si>
  <si>
    <t>R5</t>
  </si>
  <si>
    <t>R9</t>
  </si>
  <si>
    <t>R14</t>
  </si>
  <si>
    <t>1K</t>
  </si>
  <si>
    <t>33K</t>
  </si>
  <si>
    <t>12K</t>
  </si>
  <si>
    <t>3.3K</t>
  </si>
  <si>
    <t>SKHHLQA010</t>
  </si>
  <si>
    <t>X1</t>
  </si>
  <si>
    <t>U5</t>
  </si>
  <si>
    <t>SOT-23-6</t>
  </si>
  <si>
    <t>FS8205A</t>
  </si>
  <si>
    <t>INA181A3IDBVR</t>
  </si>
  <si>
    <t>ATMEGA328P-AU</t>
  </si>
  <si>
    <t xml:space="preserve">KYOCERA AVX
</t>
  </si>
  <si>
    <t>YAGEO</t>
  </si>
  <si>
    <t>KEMET</t>
  </si>
  <si>
    <t xml:space="preserve">Taiyo Yuden
</t>
  </si>
  <si>
    <t>onsemi</t>
  </si>
  <si>
    <t xml:space="preserve">Micro </t>
  </si>
  <si>
    <t xml:space="preserve">IC CURR SENSE 1 CIRCUIT SOT23-6
</t>
  </si>
  <si>
    <t xml:space="preserve">Würth </t>
  </si>
  <si>
    <t>LED</t>
  </si>
  <si>
    <t>Switch</t>
  </si>
  <si>
    <t>IC</t>
  </si>
  <si>
    <t xml:space="preserve">Connector </t>
  </si>
  <si>
    <t>Bill of Material (BOM) for Briac</t>
  </si>
  <si>
    <t>Quantity 5</t>
  </si>
  <si>
    <t>Quantity 100</t>
  </si>
  <si>
    <t>2.2nF</t>
  </si>
  <si>
    <t>1000pF</t>
  </si>
  <si>
    <t>CAP CER 0.1UF 50V Y5V 0603</t>
  </si>
  <si>
    <t>C1, C2, C3, C4, C7, C9, C10, C13, C15, C20, C21, C22, C23, C24, C25, C26, C32, C33, C34, C35, CC1, CC2</t>
  </si>
  <si>
    <t>Cap0603</t>
  </si>
  <si>
    <t>CC0603ZRY5V9BB104</t>
  </si>
  <si>
    <t>CAP CER 22UF 35V X5R 0805</t>
  </si>
  <si>
    <t>C5, C6, C14, C29, C30, C31</t>
  </si>
  <si>
    <t>Cap0805</t>
  </si>
  <si>
    <t>C2012X5R1V226MT000E</t>
  </si>
  <si>
    <t>CAP ALUM 10UF 20% 50V SMD</t>
  </si>
  <si>
    <t>C8, C11, C12</t>
  </si>
  <si>
    <t>UWX1H100MCL1GB</t>
  </si>
  <si>
    <t>CAP CER 100PF 25V C0G/NPO 0603</t>
  </si>
  <si>
    <t>CC0603JRNPO8BN101</t>
  </si>
  <si>
    <t>CAP CER 1UF 25V Y5V 0603</t>
  </si>
  <si>
    <t>C17, C28</t>
  </si>
  <si>
    <t>CC0603ZRY5V8BB105</t>
  </si>
  <si>
    <t>CAP CER 0402 2.2NF 25V C0G 5%</t>
  </si>
  <si>
    <t>C18</t>
  </si>
  <si>
    <t>Cap 0402</t>
  </si>
  <si>
    <t>C0402C222J3GEC7867</t>
  </si>
  <si>
    <t>CAP CER 10UF 25V X5R 0603</t>
  </si>
  <si>
    <t>C19, C27</t>
  </si>
  <si>
    <t>CC0603MRX5R8BB106</t>
  </si>
  <si>
    <t>CAP CER 1000PF 10V X7R 0603</t>
  </si>
  <si>
    <t>C39</t>
  </si>
  <si>
    <t>0603ZC102KAT2A</t>
  </si>
  <si>
    <t>Custom</t>
  </si>
  <si>
    <t>D1</t>
  </si>
  <si>
    <t>SOD-523 ESD Protection Devices ROHS</t>
  </si>
  <si>
    <t>D2</t>
  </si>
  <si>
    <t>LESD5Z5.0CT1G</t>
  </si>
  <si>
    <t>DIODE SCHOTTKY 20V 2A SOD323</t>
  </si>
  <si>
    <t>D3, D4</t>
  </si>
  <si>
    <t>SDM2U20SD3-7</t>
  </si>
  <si>
    <t>500mA 10uH ±20% 320mΩ 0805 Inductors</t>
  </si>
  <si>
    <t>Ind0805</t>
  </si>
  <si>
    <t>NR5040T4R7N</t>
  </si>
  <si>
    <t>1239AS-H-1R0M=P2</t>
  </si>
  <si>
    <t>Yellow-Green 0402 Light Emitting Diodes</t>
  </si>
  <si>
    <t>LED1, LED2, LED3, LED4</t>
  </si>
  <si>
    <t>LED 0402</t>
  </si>
  <si>
    <t>TZ-P2-0402YGTIA1-0.45T</t>
  </si>
  <si>
    <t>SMD LED 2835 Chips 1W 3V SMD</t>
  </si>
  <si>
    <t>LED5, LED6, LED7, LED8</t>
  </si>
  <si>
    <t>2835 LED</t>
  </si>
  <si>
    <t>2835 SMD LED</t>
  </si>
  <si>
    <t>SI2302 Series 20 3 A N-Ch Enhancement Mode Field Effect Transistor - SOT-23-3</t>
  </si>
  <si>
    <t>Q1</t>
  </si>
  <si>
    <t>2 N-Channel 466pF 10V 5.7nC 10V +150℃ (Tj) SOT23-6 MOSFETs</t>
  </si>
  <si>
    <t>Q3, Q5</t>
  </si>
  <si>
    <t>Mosfet N-ch 12V 3.2A 3-PIN X2-DFN T/r</t>
  </si>
  <si>
    <t>Q4</t>
  </si>
  <si>
    <t>DMN1045UFR4-7</t>
  </si>
  <si>
    <t>RES SMD 1K OHM 1% 1/10W 0603</t>
  </si>
  <si>
    <t>R1, R2, R30, R32, R34</t>
  </si>
  <si>
    <t>Res0603</t>
  </si>
  <si>
    <t>RC0603FR-071KL</t>
  </si>
  <si>
    <t>RES SMD 100K OHM 1% 1/10W 0603</t>
  </si>
  <si>
    <t>R3, R25, R31, R33, R35, R37</t>
  </si>
  <si>
    <t>RC0603FR-07100KL</t>
  </si>
  <si>
    <t>RES 0.05 OHM 1% 1/10W 0603</t>
  </si>
  <si>
    <t>WSL0603R0500FEA</t>
  </si>
  <si>
    <t>RES SMD 0R, 1%, 0.1W, 0603</t>
  </si>
  <si>
    <t>RC0603FR-070RL</t>
  </si>
  <si>
    <t>RES SMD 10K OHM 5% 1/10W 0603</t>
  </si>
  <si>
    <t>R6, R10, R15, R16, R17, R19, R23</t>
  </si>
  <si>
    <t>AC0603JR-0710KL</t>
  </si>
  <si>
    <t>RES 0.001 OHM 5% 2W 2512</t>
  </si>
  <si>
    <t>R7</t>
  </si>
  <si>
    <t>RES 2512</t>
  </si>
  <si>
    <t>PA2512JKF7W0R001E</t>
  </si>
  <si>
    <t>RES SMD 12K OHM 1% 1/10W 0603</t>
  </si>
  <si>
    <t>ERJ3EKF1202V</t>
  </si>
  <si>
    <t>AC0603FR-0733KL</t>
  </si>
  <si>
    <t>RES SMD 3.3K OHM 1% 1/10W 0603</t>
  </si>
  <si>
    <t>R11, R12, R13</t>
  </si>
  <si>
    <t>RC0603FR-073K3L</t>
  </si>
  <si>
    <t>RES 470K OHM 5% 1/10W 0603</t>
  </si>
  <si>
    <t>RC0603JR-07470KL</t>
  </si>
  <si>
    <t>R20</t>
  </si>
  <si>
    <t>ERJU3RD3300V</t>
  </si>
  <si>
    <t>RES SMD 732kOhm 1% 0603</t>
  </si>
  <si>
    <t>R24</t>
  </si>
  <si>
    <t>AC0603FR-07732KL</t>
  </si>
  <si>
    <t>RES SMD 1206 0.1 Ohm 1% 1W ±100ppm/°C</t>
  </si>
  <si>
    <t>R26, R27, R28, R29</t>
  </si>
  <si>
    <t>Res-1206</t>
  </si>
  <si>
    <t>ERJ8BWFR100V</t>
  </si>
  <si>
    <t>0.05R</t>
  </si>
  <si>
    <t>0R</t>
  </si>
  <si>
    <t>0.001R</t>
  </si>
  <si>
    <t>470K</t>
  </si>
  <si>
    <t>330R</t>
  </si>
  <si>
    <t>732K</t>
  </si>
  <si>
    <t>100m</t>
  </si>
  <si>
    <t>3mm 2mm Round Button 50mA Top3.65mm SPST 12V SMD Tactile Switches</t>
  </si>
  <si>
    <t>SW1</t>
  </si>
  <si>
    <t>TS-1185EC-C-D-B</t>
  </si>
  <si>
    <t>SW2</t>
  </si>
  <si>
    <t>IC MCU 8BIT 32KB FLASH 32TQFP</t>
  </si>
  <si>
    <t>32 TQFP (7X7)</t>
  </si>
  <si>
    <t>QFN-16_4x4x065P Battery Management ICs ROHS</t>
  </si>
  <si>
    <t>16-QFN (4x4)</t>
  </si>
  <si>
    <t>TP5000_QFN16</t>
  </si>
  <si>
    <t>BD48K25G</t>
  </si>
  <si>
    <t>IC PWR SWITCH N-CHAN 1:1 8TDFN</t>
  </si>
  <si>
    <t>SLG7NT402V</t>
  </si>
  <si>
    <t>NC7SZ05P5X</t>
  </si>
  <si>
    <t>TPS2115ADRBTG4</t>
  </si>
  <si>
    <t>TPS61023DRLR</t>
  </si>
  <si>
    <t>IC PWR DRIVER P-CHAN 1:1 6TSOP</t>
  </si>
  <si>
    <t>U9</t>
  </si>
  <si>
    <t>NTGD1100LT1G</t>
  </si>
  <si>
    <t>16MHz SMD Crystal Resonator 10pF 80Ω ±10ppm</t>
  </si>
  <si>
    <t>Q24FA20H0051200</t>
  </si>
  <si>
    <t>7A Jack DCPowerReceptacle 4.3mm 1.65mm</t>
  </si>
  <si>
    <t>DC-C024E-7A-1.65</t>
  </si>
  <si>
    <t>USB - Type A 4 USB 2.0 Female THT</t>
  </si>
  <si>
    <t>J2, J3</t>
  </si>
  <si>
    <t>901-141A1011D10100</t>
  </si>
  <si>
    <t>USB - Type B 4 USB 2.0 Female Through Hole</t>
  </si>
  <si>
    <t>J4</t>
  </si>
  <si>
    <t>U241-041N-1BR85-1</t>
  </si>
  <si>
    <t>CONN HEADER VERT 6POS 2.54MM</t>
  </si>
  <si>
    <t>P1</t>
  </si>
  <si>
    <t>HDR1X6</t>
  </si>
  <si>
    <t>61300611121</t>
  </si>
  <si>
    <t>CONN HEADER VERT 2POS 2.54MM</t>
  </si>
  <si>
    <t>P2</t>
  </si>
  <si>
    <t>HDR1X2</t>
  </si>
  <si>
    <t>826629-2</t>
  </si>
  <si>
    <t>Yageo</t>
  </si>
  <si>
    <t>Unit Cost(5)</t>
  </si>
  <si>
    <t>Total Cost(5)</t>
  </si>
  <si>
    <t>Unit Cost (100 Boards)</t>
  </si>
  <si>
    <t>Total Cost (100)</t>
  </si>
  <si>
    <t xml:space="preserve">TDK Corporation
</t>
  </si>
  <si>
    <t>Nichicon</t>
  </si>
  <si>
    <t>--------</t>
  </si>
  <si>
    <t xml:space="preserve">Diodes </t>
  </si>
  <si>
    <t>SOD323</t>
  </si>
  <si>
    <t xml:space="preserve">FIXED IND 4.7UH 3.1A 37.7MOHM SM
</t>
  </si>
  <si>
    <t xml:space="preserve">FIXED IND 1UH 3A 59 MOHM SMD
</t>
  </si>
  <si>
    <t xml:space="preserve">Murata </t>
  </si>
  <si>
    <t xml:space="preserve">SOT-23
</t>
  </si>
  <si>
    <t xml:space="preserve">X2-DFN1010-3
</t>
  </si>
  <si>
    <t xml:space="preserve">Vishay Dale
</t>
  </si>
  <si>
    <t>Panasonic</t>
  </si>
  <si>
    <t xml:space="preserve">RES SMD 33K OHM 1% 1/10W 0603
</t>
  </si>
  <si>
    <t xml:space="preserve">RES 330 OHM 0.5% 1/10W 0603 SMD
</t>
  </si>
  <si>
    <t xml:space="preserve">Tactile Switches 6.0x6.0x8.35mm 100gf
</t>
  </si>
  <si>
    <t>Alps Alpine</t>
  </si>
  <si>
    <t>Mouser</t>
  </si>
  <si>
    <t xml:space="preserve">3-SSOP
</t>
  </si>
  <si>
    <t xml:space="preserve">IC SUPERVISOR 1 CHANNEL 3SSOP
</t>
  </si>
  <si>
    <t xml:space="preserve">Rohm </t>
  </si>
  <si>
    <t xml:space="preserve">Dialog </t>
  </si>
  <si>
    <t>8-FC-TDFN (1.5x2)
'</t>
  </si>
  <si>
    <t>SC-70-5</t>
  </si>
  <si>
    <t xml:space="preserve">IC INVERTER OD 1CH 1-INP SC70-5
</t>
  </si>
  <si>
    <t xml:space="preserve">SOT-23-6 </t>
  </si>
  <si>
    <t>Texas Instruments</t>
  </si>
  <si>
    <t xml:space="preserve">IC OR CTRLR SRC SELECT 8SON
</t>
  </si>
  <si>
    <t xml:space="preserve">8-SON (3x3)
</t>
  </si>
  <si>
    <t xml:space="preserve">6-TSOP
</t>
  </si>
  <si>
    <t xml:space="preserve">SOT-563
</t>
  </si>
  <si>
    <t xml:space="preserve">FINISH GOODS FOR TPS61023
</t>
  </si>
  <si>
    <t>Crytal</t>
  </si>
  <si>
    <t xml:space="preserve">TE Connectivity
</t>
  </si>
  <si>
    <t>LCSC</t>
  </si>
  <si>
    <t xml:space="preserve">
LGE</t>
  </si>
  <si>
    <t xml:space="preserve">40V 500mV 3A 3A SMA Schottky Barrier Diodes (SBD) </t>
  </si>
  <si>
    <t xml:space="preserve">SOD-523
</t>
  </si>
  <si>
    <t xml:space="preserve">LRC </t>
  </si>
  <si>
    <t xml:space="preserve">microgate </t>
  </si>
  <si>
    <t xml:space="preserve">TUOZHAN </t>
  </si>
  <si>
    <t xml:space="preserve">TECH </t>
  </si>
  <si>
    <t xml:space="preserve">XKB </t>
  </si>
  <si>
    <t>TOPPOWER</t>
  </si>
  <si>
    <t>ON Semiconductor</t>
  </si>
  <si>
    <t xml:space="preserve">Seiko </t>
  </si>
  <si>
    <t>------------</t>
  </si>
  <si>
    <t>-----</t>
  </si>
  <si>
    <t xml:space="preserve">Jing </t>
  </si>
  <si>
    <t xml:space="preserve">XINGLIGHT </t>
  </si>
  <si>
    <t>-------</t>
  </si>
  <si>
    <t>Microchip</t>
  </si>
  <si>
    <t>-----------</t>
  </si>
  <si>
    <t>------</t>
  </si>
  <si>
    <t>RTT03R050FTP</t>
  </si>
  <si>
    <t>CC0402KRX7R8BB222</t>
  </si>
  <si>
    <t>CC0603KRX7R6BB102</t>
  </si>
  <si>
    <t>Aliexpress</t>
  </si>
  <si>
    <t>40 Pin Breakable Header 100 pieces per lot</t>
  </si>
  <si>
    <t>Verical</t>
  </si>
  <si>
    <t>MOQ Issue</t>
  </si>
  <si>
    <t>UTSource</t>
  </si>
  <si>
    <t>Alibaba</t>
  </si>
  <si>
    <t>Rates from Supplier on Alibaba</t>
  </si>
  <si>
    <t>AliExpress</t>
  </si>
  <si>
    <t>Less Stock on 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</si>
</sst>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00"/>
    <numFmt numFmtId="165" formatCode="_-[$$-409]* #,##0.00_ ;_-[$$-409]* \-#,##0.00\ ;_-[$$-409]* &quot;-&quot;??_ ;_-@_ "/>
    <numFmt numFmtId="166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44444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5">
    <xf numFmtId="0" fontId="0" fillId="0" borderId="0" xfId="0"/>
    <xf numFmtId="0" fontId="4" fillId="0" borderId="5" xfId="0" quotePrefix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Font="1"/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6" fontId="0" fillId="0" borderId="0" xfId="0" applyNumberFormat="1"/>
    <xf numFmtId="166" fontId="7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5" xfId="0" quotePrefix="1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65" fontId="10" fillId="3" borderId="7" xfId="0" applyNumberFormat="1" applyFont="1" applyFill="1" applyBorder="1" applyAlignment="1">
      <alignment horizontal="center" vertical="center"/>
    </xf>
    <xf numFmtId="165" fontId="10" fillId="3" borderId="8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" fillId="0" borderId="5" xfId="1" quotePrefix="1" applyBorder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1" xfId="0" quotePrefix="1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3" borderId="12" xfId="0" quotePrefix="1" applyFont="1" applyFill="1" applyBorder="1" applyAlignment="1">
      <alignment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/>
    </xf>
    <xf numFmtId="0" fontId="7" fillId="3" borderId="1" xfId="0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3" borderId="1" xfId="1" quotePrefix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4" fillId="3" borderId="1" xfId="0" quotePrefix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7" fillId="3" borderId="13" xfId="0" quotePrefix="1" applyFont="1" applyFill="1" applyBorder="1" applyAlignment="1">
      <alignment vertical="center" wrapText="1"/>
    </xf>
    <xf numFmtId="0" fontId="7" fillId="3" borderId="10" xfId="0" quotePrefix="1" applyFont="1" applyFill="1" applyBorder="1" applyAlignment="1">
      <alignment horizontal="center" vertical="center" wrapText="1"/>
    </xf>
    <xf numFmtId="0" fontId="4" fillId="3" borderId="10" xfId="0" quotePrefix="1" applyFont="1" applyFill="1" applyBorder="1" applyAlignment="1">
      <alignment horizontal="center" vertical="center"/>
    </xf>
    <xf numFmtId="0" fontId="7" fillId="3" borderId="10" xfId="0" quotePrefix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5" fillId="3" borderId="10" xfId="1" quotePrefix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0" fontId="7" fillId="3" borderId="21" xfId="0" quotePrefix="1" applyFont="1" applyFill="1" applyBorder="1" applyAlignment="1">
      <alignment horizontal="center" vertical="center" wrapText="1"/>
    </xf>
    <xf numFmtId="0" fontId="4" fillId="3" borderId="21" xfId="0" quotePrefix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3" borderId="21" xfId="1" quotePrefix="1" applyFill="1" applyBorder="1" applyAlignment="1">
      <alignment horizontal="center" vertical="center"/>
    </xf>
    <xf numFmtId="164" fontId="7" fillId="3" borderId="21" xfId="0" applyNumberFormat="1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 wrapText="1"/>
    </xf>
    <xf numFmtId="0" fontId="7" fillId="3" borderId="22" xfId="0" quotePrefix="1" applyFont="1" applyFill="1" applyBorder="1" applyAlignment="1">
      <alignment vertical="center" wrapText="1"/>
    </xf>
    <xf numFmtId="0" fontId="7" fillId="3" borderId="23" xfId="0" quotePrefix="1" applyFont="1" applyFill="1" applyBorder="1" applyAlignment="1">
      <alignment horizontal="center" vertical="center" wrapText="1"/>
    </xf>
    <xf numFmtId="0" fontId="4" fillId="3" borderId="23" xfId="0" quotePrefix="1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5" fillId="3" borderId="23" xfId="1" quotePrefix="1" applyFill="1" applyBorder="1" applyAlignment="1">
      <alignment horizontal="center" vertical="center"/>
    </xf>
    <xf numFmtId="164" fontId="7" fillId="3" borderId="23" xfId="0" applyNumberFormat="1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vertical="center" wrapText="1"/>
    </xf>
    <xf numFmtId="0" fontId="7" fillId="3" borderId="5" xfId="0" quotePrefix="1" applyFont="1" applyFill="1" applyBorder="1" applyAlignment="1">
      <alignment horizontal="center" vertical="center" wrapText="1"/>
    </xf>
    <xf numFmtId="0" fontId="4" fillId="3" borderId="5" xfId="0" quotePrefix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5" fillId="3" borderId="5" xfId="1" quotePrefix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5" fontId="15" fillId="3" borderId="7" xfId="0" applyNumberFormat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vertical="center"/>
    </xf>
    <xf numFmtId="0" fontId="7" fillId="3" borderId="13" xfId="0" quotePrefix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7" fillId="3" borderId="20" xfId="0" quotePrefix="1" applyFont="1" applyFill="1" applyBorder="1" applyAlignment="1">
      <alignment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4" xfId="0" applyFont="1" applyFill="1" applyBorder="1"/>
    <xf numFmtId="0" fontId="7" fillId="3" borderId="23" xfId="0" quotePrefix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 wrapText="1"/>
    </xf>
    <xf numFmtId="165" fontId="15" fillId="3" borderId="27" xfId="0" applyNumberFormat="1" applyFont="1" applyFill="1" applyBorder="1" applyAlignment="1">
      <alignment horizontal="center" vertical="center"/>
    </xf>
    <xf numFmtId="0" fontId="7" fillId="3" borderId="5" xfId="0" quotePrefix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5" fontId="10" fillId="3" borderId="9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6" xfId="0" quotePrefix="1" applyFont="1" applyFill="1" applyBorder="1" applyAlignment="1">
      <alignment horizontal="center" vertical="center" wrapText="1"/>
    </xf>
    <xf numFmtId="0" fontId="7" fillId="3" borderId="17" xfId="0" quotePrefix="1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/>
    </xf>
    <xf numFmtId="0" fontId="7" fillId="3" borderId="22" xfId="0" quotePrefix="1" applyFont="1" applyFill="1" applyBorder="1" applyAlignment="1">
      <alignment vertical="center"/>
    </xf>
    <xf numFmtId="0" fontId="7" fillId="3" borderId="23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7" fillId="3" borderId="18" xfId="0" quotePrefix="1" applyFont="1" applyFill="1" applyBorder="1" applyAlignment="1">
      <alignment vertical="center" wrapText="1"/>
    </xf>
    <xf numFmtId="0" fontId="4" fillId="3" borderId="17" xfId="0" quotePrefix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0" fontId="5" fillId="3" borderId="17" xfId="1" quotePrefix="1" applyFill="1" applyBorder="1" applyAlignment="1">
      <alignment horizontal="center" vertical="center"/>
    </xf>
    <xf numFmtId="164" fontId="7" fillId="3" borderId="17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3" borderId="5" xfId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5" fillId="3" borderId="10" xfId="1" applyFill="1" applyBorder="1" applyAlignment="1">
      <alignment horizontal="center" vertical="center"/>
    </xf>
    <xf numFmtId="164" fontId="7" fillId="3" borderId="26" xfId="0" applyNumberFormat="1" applyFont="1" applyFill="1" applyBorder="1" applyAlignment="1">
      <alignment horizontal="center" vertical="center"/>
    </xf>
    <xf numFmtId="0" fontId="7" fillId="3" borderId="28" xfId="0" quotePrefix="1" applyFont="1" applyFill="1" applyBorder="1" applyAlignment="1">
      <alignment vertical="center"/>
    </xf>
    <xf numFmtId="0" fontId="14" fillId="3" borderId="10" xfId="0" quotePrefix="1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/>
    </xf>
    <xf numFmtId="0" fontId="7" fillId="0" borderId="30" xfId="0" quotePrefix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1" quotePrefix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Battery-Management-ICs_TOPPOWER-Nanjing-Extension-Microelectronics-TP5000-QFN16_C51699.html" TargetMode="External"/><Relationship Id="rId18" Type="http://schemas.openxmlformats.org/officeDocument/2006/relationships/hyperlink" Target="https://www.utsource.net/itm/p/4237830.html?digipart=1" TargetMode="External"/><Relationship Id="rId26" Type="http://schemas.openxmlformats.org/officeDocument/2006/relationships/hyperlink" Target="https://lcsc.com/product-detail/Multilayer-Ceramic-Capacitors-MLCC-SMD-SMT_YAGEO-CC0603ZRY5V8BB105_C106848.html" TargetMode="External"/><Relationship Id="rId39" Type="http://schemas.openxmlformats.org/officeDocument/2006/relationships/hyperlink" Target="https://lcsc.com/product-detail/Chip-Resistor-Surface-Mount_PANASONIC-ERJ8BWFR100V_C411236.html" TargetMode="External"/><Relationship Id="rId21" Type="http://schemas.openxmlformats.org/officeDocument/2006/relationships/hyperlink" Target="https://www.aliexpress.com/item/10000146938568.html?spm=a2g0o.productlist.0.0.5f6f744e6a92KU&amp;algo_pvid=3de19ec4-cbb9-4acc-b5cf-261d6f7280a1&amp;algo_exp_id=3de19ec4-cbb9-4acc-b5cf-261d6f7280a1-0&amp;pdp_ext_f=%7B%7D" TargetMode="External"/><Relationship Id="rId34" Type="http://schemas.openxmlformats.org/officeDocument/2006/relationships/hyperlink" Target="https://lcsc.com/product-detail/Chip-Resistor-Surface-Mount_YAGEO-AC0603FR-0733KL_C138282.html" TargetMode="External"/><Relationship Id="rId42" Type="http://schemas.openxmlformats.org/officeDocument/2006/relationships/hyperlink" Target="https://lcsc.com/product-detail/Inverters_onsemi-NC7SZ05P5X_C457639.html" TargetMode="External"/><Relationship Id="rId47" Type="http://schemas.openxmlformats.org/officeDocument/2006/relationships/hyperlink" Target="https://lcsc.com/product-detail/Pin-Headers_TE-Connectivity-826629-2_C86471.html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lcsc.com/product-detail/Light-Emitting-Diodes-LED_TUOZHAN-TZ-P2-0402YGTIA1-0-45T_C688878.html" TargetMode="External"/><Relationship Id="rId2" Type="http://schemas.openxmlformats.org/officeDocument/2006/relationships/hyperlink" Target="https://eu.mouser.com/ProductDetail/Texas-Instruments/INA181A3IDBVR?qs=%2Fha2pyFaduiVf15AoqSJ4Tero7eGAzZfpVOZjRVsvceSqJMADZq1Yg%3D%3D" TargetMode="External"/><Relationship Id="rId16" Type="http://schemas.openxmlformats.org/officeDocument/2006/relationships/hyperlink" Target="https://lcsc.com/product-detail/USB-Connectors_XKB-Connectivity-U241-041N-1BR85-1_C397338.html" TargetMode="External"/><Relationship Id="rId29" Type="http://schemas.openxmlformats.org/officeDocument/2006/relationships/hyperlink" Target="https://lcsc.com/product-detail/MOSFETs_MCC-Micro-Commercial-Components-SI2302-TP_C77977.html" TargetMode="External"/><Relationship Id="rId11" Type="http://schemas.openxmlformats.org/officeDocument/2006/relationships/hyperlink" Target="https://lcsc.com/product-detail/Chip-Resistor-Surface-Mount_YAGEO-PA2512JKF7W0R001E_C728356.html" TargetMode="External"/><Relationship Id="rId24" Type="http://schemas.openxmlformats.org/officeDocument/2006/relationships/hyperlink" Target="https://lcsc.com/product-detail/Multilayer-Ceramic-Capacitors-MLCC-SMD-SMT_YAGEO-CC0603ZRY5V9BB104_C106221.html" TargetMode="External"/><Relationship Id="rId32" Type="http://schemas.openxmlformats.org/officeDocument/2006/relationships/hyperlink" Target="https://lcsc.com/product-detail/Chip-Resistor-Surface-Mount_YAGEO-AC0603JR-0710KL_C140867.html" TargetMode="External"/><Relationship Id="rId37" Type="http://schemas.openxmlformats.org/officeDocument/2006/relationships/hyperlink" Target="https://lcsc.com/product-detail/Chip-Resistor-Surface-Mount_PANASONIC-ERJU3RD3300V_C491170.html" TargetMode="External"/><Relationship Id="rId40" Type="http://schemas.openxmlformats.org/officeDocument/2006/relationships/hyperlink" Target="https://lcsc.com/product-detail/Tactile-Switches_ALPSALPINE-SKHHLQA010_C125034.html" TargetMode="External"/><Relationship Id="rId45" Type="http://schemas.openxmlformats.org/officeDocument/2006/relationships/hyperlink" Target="https://www.verical.com/pd/taiyo-yuden-surface-mount-NR5040T4R7N-639023?utm_term=NR5040T4R7N&amp;utm_source=digipart&amp;utm_medium=aggregator&amp;utm_campaign=digipart_2018&amp;utm_content=inv_listing" TargetMode="External"/><Relationship Id="rId5" Type="http://schemas.openxmlformats.org/officeDocument/2006/relationships/hyperlink" Target="https://lcsc.com/product-detail/span-style-background-color-ff0-ESD-span-Protection-Devices_LRC-LESD5Z5-0CT1G_C136167.html" TargetMode="External"/><Relationship Id="rId15" Type="http://schemas.openxmlformats.org/officeDocument/2006/relationships/hyperlink" Target="https://lcsc.com/product-detail/USB-Connectors_Jing-Extension-of-the-Electronic-Co-901-141A1011D10100_C42665.html" TargetMode="External"/><Relationship Id="rId23" Type="http://schemas.openxmlformats.org/officeDocument/2006/relationships/hyperlink" Target="https://lcsc.com/product-detail/Multilayer-Ceramic-Capacitors-MLCC-SMD-SMT_YAGEO-CC0603MRX5R8BB106_C596327.html" TargetMode="External"/><Relationship Id="rId28" Type="http://schemas.openxmlformats.org/officeDocument/2006/relationships/hyperlink" Target="https://lcsc.com/product-detail/Inductors-SMD_Murata-Electronics-1239AS-H-1R0M-P2_C167447.html" TargetMode="External"/><Relationship Id="rId36" Type="http://schemas.openxmlformats.org/officeDocument/2006/relationships/hyperlink" Target="https://lcsc.com/product-detail/Chip-Resistor-Surface-Mount_YAGEO-RC0603JR-07470KL_C115418.html" TargetMode="External"/><Relationship Id="rId49" Type="http://schemas.openxmlformats.org/officeDocument/2006/relationships/hyperlink" Target="https://www.aliexpress.com/item/1005002864779656.html?spm=a2g0o.productlist.0.0.6ea44fb0Jli2MW&amp;algo_pvid=28ae989b-8c4b-479c-a22f-8db2046f2610&amp;algo_exp_id=28ae989b-8c4b-479c-a22f-8db2046f2610-0&amp;pdp_ext_f=%7B%22sku_id%22%3A%2212000022517376716%22%7D" TargetMode="External"/><Relationship Id="rId10" Type="http://schemas.openxmlformats.org/officeDocument/2006/relationships/hyperlink" Target="https://lcsc.com/product-detail/Chip-Resistor-Surface-Mount_YAGEO-RC0603FR-070RL_C100044.html" TargetMode="External"/><Relationship Id="rId19" Type="http://schemas.openxmlformats.org/officeDocument/2006/relationships/hyperlink" Target="https://www.alibaba.com/product-detail/TPS2115ADRBTG4-IC-OR-CTRLR-SRC-SELECT_1600320487301.html" TargetMode="External"/><Relationship Id="rId31" Type="http://schemas.openxmlformats.org/officeDocument/2006/relationships/hyperlink" Target="https://lcsc.com/product-detail/Chip-Resistor-Surface-Mount_YAGEO-RC0603FR-07100KL_C14675.html" TargetMode="External"/><Relationship Id="rId44" Type="http://schemas.openxmlformats.org/officeDocument/2006/relationships/hyperlink" Target="https://lcsc.com/product-detail/Multilayer-Ceramic-Capacitors-MLCC-SMD-SMT_YAGEO-CC0603KRX7R6BB102_C519402.html" TargetMode="External"/><Relationship Id="rId4" Type="http://schemas.openxmlformats.org/officeDocument/2006/relationships/hyperlink" Target="https://lcsc.com/product-detail/Schottky-Barrier-Diodes-SBD_LGE-SS34_C432300.html" TargetMode="External"/><Relationship Id="rId9" Type="http://schemas.openxmlformats.org/officeDocument/2006/relationships/hyperlink" Target="https://lcsc.com/product-detail/MOSFETs_Diodes-Incorporated-DMN1045UFR4-7_C460988.html" TargetMode="External"/><Relationship Id="rId14" Type="http://schemas.openxmlformats.org/officeDocument/2006/relationships/hyperlink" Target="https://lcsc.com/product-detail/Crystals_Seiko-Epson-Q24FA20H0051200_C255947.html" TargetMode="External"/><Relationship Id="rId22" Type="http://schemas.openxmlformats.org/officeDocument/2006/relationships/hyperlink" Target="https://lcsc.com/product-detail/AC-DC-Power-Connectors_XKB-Connectivity-DC-C024E-7A-1-65_C397335.html" TargetMode="External"/><Relationship Id="rId27" Type="http://schemas.openxmlformats.org/officeDocument/2006/relationships/hyperlink" Target="https://lcsc.com/product-detail/Schottky-Barrier-Diodes-SBD_Diodes-Incorporated-SDM2U20SD3-7_C460258.html" TargetMode="External"/><Relationship Id="rId30" Type="http://schemas.openxmlformats.org/officeDocument/2006/relationships/hyperlink" Target="https://lcsc.com/product-detail/Chip-Resistor-Surface-Mount_YAGEO-RC0603FR-071KL_C22548.html" TargetMode="External"/><Relationship Id="rId35" Type="http://schemas.openxmlformats.org/officeDocument/2006/relationships/hyperlink" Target="https://lcsc.com/product-detail/Chip-Resistor-Surface-Mount_YAGEO-RC0603FR-073K3L_C108078.html" TargetMode="External"/><Relationship Id="rId43" Type="http://schemas.openxmlformats.org/officeDocument/2006/relationships/hyperlink" Target="https://lcsc.com/product-detail/Multilayer-Ceramic-Capacitors-MLCC-SMD-SMT_YAGEO-CC0402KRX7R8BB222_C541386.html" TargetMode="External"/><Relationship Id="rId48" Type="http://schemas.openxmlformats.org/officeDocument/2006/relationships/hyperlink" Target="https://www.aliexpress.com/item/1005002222010045.html?spm=a2g0o.search0304.0.0.7e0f163fPcLXRI&amp;algo_pvid=c8d6cbe5-f424-4963-886b-dd3c9760ecf1&amp;algo_exp_id=c8d6cbe5-f424-4963-886b-dd3c9760ecf1-21" TargetMode="External"/><Relationship Id="rId8" Type="http://schemas.openxmlformats.org/officeDocument/2006/relationships/hyperlink" Target="https://lcsc.com/product-detail/MOSFETs_TECH-PUBLIC-FS8205A_C2830320.html" TargetMode="External"/><Relationship Id="rId3" Type="http://schemas.openxmlformats.org/officeDocument/2006/relationships/hyperlink" Target="https://lcsc.com/product-detail/Aluminum-Electrolytic-Capacitors-SMD_Nichicon-UWX1H100MCL1GB_C134237.html" TargetMode="External"/><Relationship Id="rId12" Type="http://schemas.openxmlformats.org/officeDocument/2006/relationships/hyperlink" Target="https://lcsc.com/product-detail/Tactile-Switches_XKB-Connectivity-TS-1185EC-C-D-B_C318893.html" TargetMode="External"/><Relationship Id="rId17" Type="http://schemas.openxmlformats.org/officeDocument/2006/relationships/hyperlink" Target="https://lcsc.com/product-detail/Light-Emitting-Diodes-span-style-background-color-ff0-LED-span_XINGLIGHT-XL-2835UWC-02_C2843876.html" TargetMode="External"/><Relationship Id="rId25" Type="http://schemas.openxmlformats.org/officeDocument/2006/relationships/hyperlink" Target="https://lcsc.com/product-detail/Multilayer-Ceramic-Capacitors-MLCC-SMD-SMT_YAGEO-CC0603JRNPO8BN101_C519387.html" TargetMode="External"/><Relationship Id="rId33" Type="http://schemas.openxmlformats.org/officeDocument/2006/relationships/hyperlink" Target="https://lcsc.com/product-detail/Chip-Resistor-Surface-Mount_PANASONIC-ERJ3EKF1202V_C400645.html" TargetMode="External"/><Relationship Id="rId38" Type="http://schemas.openxmlformats.org/officeDocument/2006/relationships/hyperlink" Target="https://lcsc.com/product-detail/Chip-Resistor-Surface-Mount_YAGEO-AC0603FR-07732KL_C228042.html" TargetMode="External"/><Relationship Id="rId46" Type="http://schemas.openxmlformats.org/officeDocument/2006/relationships/hyperlink" Target="https://www.digikey.com/en/products/detail/rohm-semiconductor/BD48K25G-TL/3693291?s=N4IgTCBcDaIEIBEAsAOA0mArAcRAXQF8g" TargetMode="External"/><Relationship Id="rId20" Type="http://schemas.openxmlformats.org/officeDocument/2006/relationships/hyperlink" Target="https://www.aliexpress.com/item/1005003269031686.html?spm=a2g0o.productlist.0.0.6b216bd1bPYzVl&amp;algo_pvid=06227df1-8326-4ef1-967e-885882667296&amp;algo_exp_id=06227df1-8326-4ef1-967e-885882667296-8&amp;pdp_ext_f=%7B%7D" TargetMode="External"/><Relationship Id="rId41" Type="http://schemas.openxmlformats.org/officeDocument/2006/relationships/hyperlink" Target="https://lcsc.com/product-detail/Chip-span-style-background-color-ff0-Resistor-span-Surface-Mount_RALEC-RTT03R050FTP_C158895.html" TargetMode="External"/><Relationship Id="rId1" Type="http://schemas.openxmlformats.org/officeDocument/2006/relationships/hyperlink" Target="https://www.digikey.com/en/products/detail/dialog-semiconductor-gmbh/SLG7NT402V/7562906?s=N4IgTCBcDaIMoBkDiB2AcgFQCwAYwDUQBdAXyA" TargetMode="External"/><Relationship Id="rId6" Type="http://schemas.openxmlformats.org/officeDocument/2006/relationships/hyperlink" Target="https://lcsc.com/product-detail/Inductors-SMD_microgate-MGFL2012F100MT-LF_C28111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topLeftCell="H23" zoomScale="86" zoomScaleNormal="85" workbookViewId="0">
      <selection activeCell="O40" sqref="O40"/>
    </sheetView>
  </sheetViews>
  <sheetFormatPr defaultRowHeight="14.4" x14ac:dyDescent="0.3"/>
  <cols>
    <col min="1" max="1" width="6.109375" style="10" bestFit="1" customWidth="1"/>
    <col min="2" max="2" width="14.44140625" customWidth="1"/>
    <col min="3" max="3" width="40.88671875" style="18" customWidth="1"/>
    <col min="4" max="4" width="31.5546875" style="10" bestFit="1" customWidth="1"/>
    <col min="5" max="5" width="19.33203125" style="19" bestFit="1" customWidth="1"/>
    <col min="6" max="6" width="25.33203125" style="19" bestFit="1" customWidth="1"/>
    <col min="7" max="7" width="19.109375" bestFit="1" customWidth="1"/>
    <col min="8" max="8" width="18.6640625" bestFit="1" customWidth="1"/>
    <col min="9" max="9" width="7.33203125" style="10" bestFit="1" customWidth="1"/>
    <col min="10" max="10" width="19.44140625" style="10" bestFit="1" customWidth="1"/>
    <col min="11" max="11" width="12" bestFit="1" customWidth="1"/>
    <col min="12" max="12" width="13.5546875" customWidth="1"/>
    <col min="13" max="13" width="13.88671875" customWidth="1"/>
    <col min="14" max="14" width="10.5546875" bestFit="1" customWidth="1"/>
    <col min="15" max="15" width="13.109375" bestFit="1" customWidth="1"/>
    <col min="16" max="16" width="13.6640625" bestFit="1" customWidth="1"/>
    <col min="17" max="17" width="21.6640625" bestFit="1" customWidth="1"/>
    <col min="18" max="18" width="15.5546875" bestFit="1" customWidth="1"/>
    <col min="19" max="19" width="16" customWidth="1"/>
    <col min="20" max="20" width="15.6640625" customWidth="1"/>
    <col min="21" max="21" width="35.5546875" bestFit="1" customWidth="1"/>
  </cols>
  <sheetData>
    <row r="1" spans="1:23" ht="16.2" thickBot="1" x14ac:dyDescent="0.35">
      <c r="A1" s="117" t="s">
        <v>77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9"/>
    </row>
    <row r="2" spans="1:23" ht="15" thickBot="1" x14ac:dyDescent="0.35">
      <c r="A2" s="2" t="s">
        <v>8</v>
      </c>
      <c r="B2" s="2" t="s">
        <v>9</v>
      </c>
      <c r="C2" s="2" t="s">
        <v>0</v>
      </c>
      <c r="D2" s="2" t="s">
        <v>1</v>
      </c>
      <c r="E2" s="2" t="s">
        <v>10</v>
      </c>
      <c r="F2" s="2" t="s">
        <v>3</v>
      </c>
      <c r="G2" s="2" t="s">
        <v>2</v>
      </c>
      <c r="H2" s="2" t="s">
        <v>11</v>
      </c>
      <c r="I2" s="2" t="s">
        <v>12</v>
      </c>
      <c r="J2" s="2" t="s">
        <v>42</v>
      </c>
      <c r="K2" s="2" t="s">
        <v>78</v>
      </c>
      <c r="L2" s="2" t="s">
        <v>79</v>
      </c>
      <c r="M2" s="2" t="s">
        <v>40</v>
      </c>
      <c r="N2" s="2" t="s">
        <v>41</v>
      </c>
      <c r="O2" s="2" t="s">
        <v>214</v>
      </c>
      <c r="P2" s="2" t="s">
        <v>215</v>
      </c>
      <c r="Q2" s="2" t="s">
        <v>216</v>
      </c>
      <c r="R2" s="2" t="s">
        <v>217</v>
      </c>
      <c r="S2" s="2" t="s">
        <v>38</v>
      </c>
      <c r="T2" s="2" t="s">
        <v>39</v>
      </c>
      <c r="U2" s="2" t="s">
        <v>13</v>
      </c>
    </row>
    <row r="3" spans="1:23" ht="42" thickBot="1" x14ac:dyDescent="0.35">
      <c r="A3" s="16">
        <v>1</v>
      </c>
      <c r="B3" s="112" t="s">
        <v>14</v>
      </c>
      <c r="C3" s="23" t="s">
        <v>82</v>
      </c>
      <c r="D3" s="12" t="s">
        <v>83</v>
      </c>
      <c r="E3" s="12" t="s">
        <v>84</v>
      </c>
      <c r="F3" s="111" t="s">
        <v>85</v>
      </c>
      <c r="G3" s="1" t="s">
        <v>213</v>
      </c>
      <c r="H3" s="11" t="s">
        <v>269</v>
      </c>
      <c r="I3" s="12" t="s">
        <v>4</v>
      </c>
      <c r="J3" s="24">
        <v>22</v>
      </c>
      <c r="K3" s="4">
        <v>200</v>
      </c>
      <c r="L3" s="4">
        <v>2300</v>
      </c>
      <c r="M3" s="4">
        <v>22500</v>
      </c>
      <c r="N3" s="20" t="s">
        <v>251</v>
      </c>
      <c r="O3" s="6">
        <v>3.3E-3</v>
      </c>
      <c r="P3" s="6">
        <f>O3*K3</f>
        <v>0.66</v>
      </c>
      <c r="Q3" s="6">
        <v>2.3999999999999998E-3</v>
      </c>
      <c r="R3" s="6">
        <f>Q3*L3</f>
        <v>5.52</v>
      </c>
      <c r="S3" s="6">
        <v>2.0999999999999999E-3</v>
      </c>
      <c r="T3" s="6">
        <f>S3*M3</f>
        <v>47.25</v>
      </c>
      <c r="U3" s="5"/>
      <c r="V3" s="3"/>
      <c r="W3" s="3"/>
    </row>
    <row r="4" spans="1:23" ht="15" thickBot="1" x14ac:dyDescent="0.35">
      <c r="A4" s="16">
        <v>2</v>
      </c>
      <c r="B4" s="113"/>
      <c r="C4" s="29" t="s">
        <v>86</v>
      </c>
      <c r="D4" s="30" t="s">
        <v>87</v>
      </c>
      <c r="E4" s="30" t="s">
        <v>88</v>
      </c>
      <c r="F4" s="13" t="s">
        <v>89</v>
      </c>
      <c r="G4" s="31" t="s">
        <v>218</v>
      </c>
      <c r="H4" s="32" t="s">
        <v>220</v>
      </c>
      <c r="I4" s="30" t="s">
        <v>21</v>
      </c>
      <c r="J4" s="33">
        <v>6</v>
      </c>
      <c r="K4" s="34">
        <v>40</v>
      </c>
      <c r="L4" s="34">
        <v>1000</v>
      </c>
      <c r="M4" s="34">
        <v>6100</v>
      </c>
      <c r="N4" s="35" t="s">
        <v>274</v>
      </c>
      <c r="O4" s="36">
        <v>0.59899999999999998</v>
      </c>
      <c r="P4" s="36">
        <f t="shared" ref="P4:P51" si="0">O4*K4</f>
        <v>23.96</v>
      </c>
      <c r="Q4" s="36">
        <v>3.3000000000000002E-2</v>
      </c>
      <c r="R4" s="36">
        <f t="shared" ref="R4:R51" si="1">Q4*L4</f>
        <v>33</v>
      </c>
      <c r="S4" s="36"/>
      <c r="T4" s="36">
        <f t="shared" ref="T4:T51" si="2">S4*M4</f>
        <v>0</v>
      </c>
      <c r="U4" s="37"/>
      <c r="V4" s="3"/>
      <c r="W4" s="3"/>
    </row>
    <row r="5" spans="1:23" ht="15" thickBot="1" x14ac:dyDescent="0.35">
      <c r="A5" s="16">
        <v>3</v>
      </c>
      <c r="B5" s="113"/>
      <c r="C5" s="29" t="s">
        <v>90</v>
      </c>
      <c r="D5" s="30" t="s">
        <v>91</v>
      </c>
      <c r="E5" s="30" t="s">
        <v>108</v>
      </c>
      <c r="F5" s="30" t="s">
        <v>92</v>
      </c>
      <c r="G5" s="31" t="s">
        <v>219</v>
      </c>
      <c r="H5" s="32" t="s">
        <v>220</v>
      </c>
      <c r="I5" s="30" t="s">
        <v>22</v>
      </c>
      <c r="J5" s="33">
        <v>3</v>
      </c>
      <c r="K5" s="34">
        <v>20</v>
      </c>
      <c r="L5" s="34">
        <v>330</v>
      </c>
      <c r="M5" s="34">
        <v>3100</v>
      </c>
      <c r="N5" s="35" t="s">
        <v>251</v>
      </c>
      <c r="O5" s="36">
        <v>8.3000000000000004E-2</v>
      </c>
      <c r="P5" s="36">
        <f t="shared" si="0"/>
        <v>1.6600000000000001</v>
      </c>
      <c r="Q5" s="36">
        <v>6.0900000000000003E-2</v>
      </c>
      <c r="R5" s="36">
        <f t="shared" si="1"/>
        <v>20.097000000000001</v>
      </c>
      <c r="S5" s="39">
        <v>4.7600000000000003E-2</v>
      </c>
      <c r="T5" s="36">
        <f t="shared" si="2"/>
        <v>147.56</v>
      </c>
      <c r="U5" s="25"/>
      <c r="V5" s="3"/>
      <c r="W5" s="3"/>
    </row>
    <row r="6" spans="1:23" ht="15" thickBot="1" x14ac:dyDescent="0.35">
      <c r="A6" s="16">
        <v>4</v>
      </c>
      <c r="B6" s="113"/>
      <c r="C6" s="29" t="s">
        <v>93</v>
      </c>
      <c r="D6" s="30" t="s">
        <v>43</v>
      </c>
      <c r="E6" s="30" t="s">
        <v>84</v>
      </c>
      <c r="F6" s="30" t="s">
        <v>94</v>
      </c>
      <c r="G6" s="31" t="s">
        <v>213</v>
      </c>
      <c r="H6" s="32" t="s">
        <v>220</v>
      </c>
      <c r="I6" s="30" t="s">
        <v>44</v>
      </c>
      <c r="J6" s="33">
        <v>1</v>
      </c>
      <c r="K6" s="34">
        <v>100</v>
      </c>
      <c r="L6" s="34">
        <v>150</v>
      </c>
      <c r="M6" s="34">
        <v>1100</v>
      </c>
      <c r="N6" s="35" t="s">
        <v>251</v>
      </c>
      <c r="O6" s="36">
        <v>4.0000000000000001E-3</v>
      </c>
      <c r="P6" s="36">
        <f t="shared" si="0"/>
        <v>0.4</v>
      </c>
      <c r="Q6" s="36">
        <v>4.0000000000000001E-3</v>
      </c>
      <c r="R6" s="36">
        <f t="shared" si="1"/>
        <v>0.6</v>
      </c>
      <c r="S6" s="36">
        <v>3.0999999999999999E-3</v>
      </c>
      <c r="T6" s="36">
        <f t="shared" si="2"/>
        <v>3.4099999999999997</v>
      </c>
      <c r="U6" s="25"/>
      <c r="V6" s="3"/>
      <c r="W6" s="3"/>
    </row>
    <row r="7" spans="1:23" ht="15" thickBot="1" x14ac:dyDescent="0.35">
      <c r="A7" s="16">
        <v>5</v>
      </c>
      <c r="B7" s="113"/>
      <c r="C7" s="29" t="s">
        <v>95</v>
      </c>
      <c r="D7" s="30" t="s">
        <v>96</v>
      </c>
      <c r="E7" s="30" t="s">
        <v>84</v>
      </c>
      <c r="F7" s="30" t="s">
        <v>97</v>
      </c>
      <c r="G7" s="31" t="s">
        <v>213</v>
      </c>
      <c r="H7" s="32" t="s">
        <v>220</v>
      </c>
      <c r="I7" s="30" t="s">
        <v>20</v>
      </c>
      <c r="J7" s="33">
        <v>2</v>
      </c>
      <c r="K7" s="34">
        <v>100</v>
      </c>
      <c r="L7" s="34">
        <v>250</v>
      </c>
      <c r="M7" s="34">
        <v>2100</v>
      </c>
      <c r="N7" s="35" t="s">
        <v>251</v>
      </c>
      <c r="O7" s="36">
        <v>9.7000000000000003E-3</v>
      </c>
      <c r="P7" s="36">
        <f t="shared" si="0"/>
        <v>0.97</v>
      </c>
      <c r="Q7" s="36">
        <v>9.7000000000000003E-3</v>
      </c>
      <c r="R7" s="36">
        <f t="shared" si="1"/>
        <v>2.4250000000000003</v>
      </c>
      <c r="S7" s="36">
        <v>7.1000000000000004E-3</v>
      </c>
      <c r="T7" s="36">
        <f t="shared" si="2"/>
        <v>14.91</v>
      </c>
      <c r="U7" s="25"/>
      <c r="V7" s="3"/>
      <c r="W7" s="3"/>
    </row>
    <row r="8" spans="1:23" ht="15" thickBot="1" x14ac:dyDescent="0.35">
      <c r="A8" s="16">
        <v>6</v>
      </c>
      <c r="B8" s="113"/>
      <c r="C8" s="29" t="s">
        <v>98</v>
      </c>
      <c r="D8" s="30" t="s">
        <v>99</v>
      </c>
      <c r="E8" s="30" t="s">
        <v>100</v>
      </c>
      <c r="F8" s="38" t="s">
        <v>101</v>
      </c>
      <c r="G8" s="31" t="s">
        <v>67</v>
      </c>
      <c r="H8" s="32" t="s">
        <v>272</v>
      </c>
      <c r="I8" s="30" t="s">
        <v>80</v>
      </c>
      <c r="J8" s="33">
        <v>1</v>
      </c>
      <c r="K8" s="34">
        <v>100</v>
      </c>
      <c r="L8" s="34">
        <v>200</v>
      </c>
      <c r="M8" s="34">
        <v>1100</v>
      </c>
      <c r="N8" s="35" t="s">
        <v>251</v>
      </c>
      <c r="O8" s="36">
        <v>1.5E-3</v>
      </c>
      <c r="P8" s="36">
        <f t="shared" si="0"/>
        <v>0.15</v>
      </c>
      <c r="Q8" s="36">
        <v>1.5E-3</v>
      </c>
      <c r="R8" s="36">
        <f t="shared" si="1"/>
        <v>0.3</v>
      </c>
      <c r="S8" s="36">
        <v>1.1999999999999999E-3</v>
      </c>
      <c r="T8" s="36">
        <f t="shared" si="2"/>
        <v>1.3199999999999998</v>
      </c>
      <c r="U8" s="25"/>
      <c r="V8" s="3"/>
      <c r="W8" s="3"/>
    </row>
    <row r="9" spans="1:23" ht="15" thickBot="1" x14ac:dyDescent="0.35">
      <c r="A9" s="16">
        <v>7</v>
      </c>
      <c r="B9" s="113"/>
      <c r="C9" s="29" t="s">
        <v>102</v>
      </c>
      <c r="D9" s="30" t="s">
        <v>103</v>
      </c>
      <c r="E9" s="30" t="s">
        <v>84</v>
      </c>
      <c r="F9" s="30" t="s">
        <v>104</v>
      </c>
      <c r="G9" s="31" t="s">
        <v>213</v>
      </c>
      <c r="H9" s="32" t="s">
        <v>220</v>
      </c>
      <c r="I9" s="30" t="s">
        <v>22</v>
      </c>
      <c r="J9" s="33">
        <v>2</v>
      </c>
      <c r="K9" s="34">
        <v>15</v>
      </c>
      <c r="L9" s="34">
        <v>230</v>
      </c>
      <c r="M9" s="34">
        <v>2100</v>
      </c>
      <c r="N9" s="35" t="s">
        <v>251</v>
      </c>
      <c r="O9" s="36">
        <v>8.8499999999999995E-2</v>
      </c>
      <c r="P9" s="36">
        <f t="shared" si="0"/>
        <v>1.3274999999999999</v>
      </c>
      <c r="Q9" s="36">
        <v>6.5699999999999995E-2</v>
      </c>
      <c r="R9" s="36">
        <f t="shared" si="1"/>
        <v>15.110999999999999</v>
      </c>
      <c r="S9" s="36">
        <v>6.2199999999999998E-2</v>
      </c>
      <c r="T9" s="36">
        <f t="shared" si="2"/>
        <v>130.62</v>
      </c>
      <c r="U9" s="25"/>
      <c r="V9" s="3"/>
      <c r="W9" s="3"/>
    </row>
    <row r="10" spans="1:23" ht="15" thickBot="1" x14ac:dyDescent="0.35">
      <c r="A10" s="16">
        <v>8</v>
      </c>
      <c r="B10" s="114"/>
      <c r="C10" s="40" t="s">
        <v>105</v>
      </c>
      <c r="D10" s="41" t="s">
        <v>106</v>
      </c>
      <c r="E10" s="41" t="s">
        <v>84</v>
      </c>
      <c r="F10" s="109" t="s">
        <v>107</v>
      </c>
      <c r="G10" s="42" t="s">
        <v>65</v>
      </c>
      <c r="H10" s="43" t="s">
        <v>273</v>
      </c>
      <c r="I10" s="41" t="s">
        <v>81</v>
      </c>
      <c r="J10" s="44">
        <v>1</v>
      </c>
      <c r="K10" s="45">
        <v>50</v>
      </c>
      <c r="L10" s="45">
        <v>150</v>
      </c>
      <c r="M10" s="45">
        <v>1100</v>
      </c>
      <c r="N10" s="46" t="s">
        <v>251</v>
      </c>
      <c r="O10" s="47">
        <v>4.3E-3</v>
      </c>
      <c r="P10" s="47">
        <f t="shared" si="0"/>
        <v>0.215</v>
      </c>
      <c r="Q10" s="47">
        <v>4.3E-3</v>
      </c>
      <c r="R10" s="47">
        <f t="shared" si="1"/>
        <v>0.64500000000000002</v>
      </c>
      <c r="S10" s="47">
        <v>3.3E-3</v>
      </c>
      <c r="T10" s="47">
        <f t="shared" si="2"/>
        <v>3.63</v>
      </c>
      <c r="U10" s="26"/>
      <c r="V10" s="3"/>
      <c r="W10" s="3"/>
    </row>
    <row r="11" spans="1:23" ht="15" thickBot="1" x14ac:dyDescent="0.35">
      <c r="A11" s="16">
        <v>9</v>
      </c>
      <c r="B11" s="112" t="s">
        <v>15</v>
      </c>
      <c r="C11" s="108" t="s">
        <v>253</v>
      </c>
      <c r="D11" s="64" t="s">
        <v>109</v>
      </c>
      <c r="E11" s="64" t="s">
        <v>23</v>
      </c>
      <c r="F11" s="64" t="s">
        <v>45</v>
      </c>
      <c r="G11" s="65" t="s">
        <v>252</v>
      </c>
      <c r="H11" s="80" t="s">
        <v>220</v>
      </c>
      <c r="I11" s="80" t="s">
        <v>220</v>
      </c>
      <c r="J11" s="81">
        <v>1</v>
      </c>
      <c r="K11" s="67">
        <f t="shared" ref="K11:K49" si="3">J11*5</f>
        <v>5</v>
      </c>
      <c r="L11" s="67">
        <f t="shared" ref="L11:L50" si="4">J11*100</f>
        <v>100</v>
      </c>
      <c r="M11" s="67">
        <f t="shared" ref="M11:M49" si="5">J11*1000</f>
        <v>1000</v>
      </c>
      <c r="N11" s="68" t="s">
        <v>251</v>
      </c>
      <c r="O11" s="69">
        <v>7.5499999999999998E-2</v>
      </c>
      <c r="P11" s="69">
        <f t="shared" si="0"/>
        <v>0.3775</v>
      </c>
      <c r="Q11" s="69">
        <v>5.79E-2</v>
      </c>
      <c r="R11" s="69">
        <f t="shared" si="1"/>
        <v>5.79</v>
      </c>
      <c r="S11" s="69">
        <v>4.53E-2</v>
      </c>
      <c r="T11" s="69">
        <f t="shared" si="2"/>
        <v>45.3</v>
      </c>
      <c r="U11" s="84"/>
      <c r="V11" s="3"/>
      <c r="W11" s="3"/>
    </row>
    <row r="12" spans="1:23" ht="15" thickBot="1" x14ac:dyDescent="0.35">
      <c r="A12" s="16">
        <v>10</v>
      </c>
      <c r="B12" s="113"/>
      <c r="C12" s="29" t="s">
        <v>110</v>
      </c>
      <c r="D12" s="30" t="s">
        <v>111</v>
      </c>
      <c r="E12" s="32" t="s">
        <v>254</v>
      </c>
      <c r="F12" s="30" t="s">
        <v>112</v>
      </c>
      <c r="G12" s="54" t="s">
        <v>255</v>
      </c>
      <c r="H12" s="32" t="s">
        <v>220</v>
      </c>
      <c r="I12" s="32" t="s">
        <v>220</v>
      </c>
      <c r="J12" s="33">
        <v>1</v>
      </c>
      <c r="K12" s="34">
        <v>20</v>
      </c>
      <c r="L12" s="34">
        <f t="shared" si="4"/>
        <v>100</v>
      </c>
      <c r="M12" s="34">
        <f t="shared" si="5"/>
        <v>1000</v>
      </c>
      <c r="N12" s="35" t="s">
        <v>251</v>
      </c>
      <c r="O12" s="36">
        <v>1.83E-2</v>
      </c>
      <c r="P12" s="36">
        <f t="shared" si="0"/>
        <v>0.36599999999999999</v>
      </c>
      <c r="Q12" s="36">
        <v>1.83E-2</v>
      </c>
      <c r="R12" s="36">
        <f t="shared" si="1"/>
        <v>1.83</v>
      </c>
      <c r="S12" s="36">
        <v>1.23E-2</v>
      </c>
      <c r="T12" s="36">
        <f t="shared" si="2"/>
        <v>12.3</v>
      </c>
      <c r="U12" s="37"/>
      <c r="V12" s="3"/>
      <c r="W12" s="3"/>
    </row>
    <row r="13" spans="1:23" ht="15" thickBot="1" x14ac:dyDescent="0.35">
      <c r="A13" s="16">
        <v>11</v>
      </c>
      <c r="B13" s="114"/>
      <c r="C13" s="40" t="s">
        <v>113</v>
      </c>
      <c r="D13" s="41" t="s">
        <v>114</v>
      </c>
      <c r="E13" s="41" t="s">
        <v>222</v>
      </c>
      <c r="F13" s="41" t="s">
        <v>115</v>
      </c>
      <c r="G13" s="42" t="s">
        <v>221</v>
      </c>
      <c r="H13" s="43" t="s">
        <v>220</v>
      </c>
      <c r="I13" s="43" t="s">
        <v>220</v>
      </c>
      <c r="J13" s="44">
        <v>2</v>
      </c>
      <c r="K13" s="45">
        <f t="shared" si="3"/>
        <v>10</v>
      </c>
      <c r="L13" s="45">
        <f t="shared" si="4"/>
        <v>200</v>
      </c>
      <c r="M13" s="45">
        <f t="shared" si="5"/>
        <v>2000</v>
      </c>
      <c r="N13" s="46" t="s">
        <v>251</v>
      </c>
      <c r="O13" s="47">
        <v>0.1087</v>
      </c>
      <c r="P13" s="47">
        <f t="shared" si="0"/>
        <v>1.087</v>
      </c>
      <c r="Q13" s="47">
        <v>7.7200000000000005E-2</v>
      </c>
      <c r="R13" s="47">
        <f t="shared" si="1"/>
        <v>15.440000000000001</v>
      </c>
      <c r="S13" s="47">
        <v>7.2300000000000003E-2</v>
      </c>
      <c r="T13" s="47">
        <f t="shared" si="2"/>
        <v>144.6</v>
      </c>
      <c r="U13" s="26"/>
      <c r="V13" s="3"/>
      <c r="W13" s="3"/>
    </row>
    <row r="14" spans="1:23" ht="15" thickBot="1" x14ac:dyDescent="0.35">
      <c r="A14" s="16">
        <v>12</v>
      </c>
      <c r="B14" s="112" t="s">
        <v>30</v>
      </c>
      <c r="C14" s="63" t="s">
        <v>116</v>
      </c>
      <c r="D14" s="64" t="s">
        <v>28</v>
      </c>
      <c r="E14" s="64" t="s">
        <v>117</v>
      </c>
      <c r="F14" s="64" t="s">
        <v>49</v>
      </c>
      <c r="G14" s="65" t="s">
        <v>256</v>
      </c>
      <c r="H14" s="64" t="s">
        <v>220</v>
      </c>
      <c r="I14" s="64" t="s">
        <v>31</v>
      </c>
      <c r="J14" s="66">
        <v>1</v>
      </c>
      <c r="K14" s="67">
        <v>10</v>
      </c>
      <c r="L14" s="67">
        <f t="shared" si="4"/>
        <v>100</v>
      </c>
      <c r="M14" s="67">
        <f t="shared" si="5"/>
        <v>1000</v>
      </c>
      <c r="N14" s="68" t="s">
        <v>251</v>
      </c>
      <c r="O14" s="69">
        <v>4.9000000000000002E-2</v>
      </c>
      <c r="P14" s="69">
        <f t="shared" si="0"/>
        <v>0.49</v>
      </c>
      <c r="Q14" s="69">
        <v>3.9100000000000003E-2</v>
      </c>
      <c r="R14" s="69">
        <f t="shared" si="1"/>
        <v>3.91</v>
      </c>
      <c r="S14" s="69">
        <v>2.4899999999999999E-2</v>
      </c>
      <c r="T14" s="69">
        <f t="shared" si="2"/>
        <v>24.9</v>
      </c>
      <c r="U14" s="70"/>
      <c r="V14" s="3"/>
      <c r="W14" s="3"/>
    </row>
    <row r="15" spans="1:23" s="22" customFormat="1" ht="15" thickBot="1" x14ac:dyDescent="0.35">
      <c r="A15" s="16">
        <v>13</v>
      </c>
      <c r="B15" s="113"/>
      <c r="C15" s="71" t="s">
        <v>223</v>
      </c>
      <c r="D15" s="30" t="s">
        <v>29</v>
      </c>
      <c r="E15" s="30" t="s">
        <v>108</v>
      </c>
      <c r="F15" s="30" t="s">
        <v>118</v>
      </c>
      <c r="G15" s="31" t="s">
        <v>68</v>
      </c>
      <c r="H15" s="30" t="s">
        <v>220</v>
      </c>
      <c r="I15" s="30" t="s">
        <v>47</v>
      </c>
      <c r="J15" s="120">
        <v>1</v>
      </c>
      <c r="K15" s="34">
        <v>60</v>
      </c>
      <c r="L15" s="34">
        <v>120</v>
      </c>
      <c r="M15" s="121">
        <v>1100</v>
      </c>
      <c r="N15" s="122" t="s">
        <v>276</v>
      </c>
      <c r="O15" s="123" t="s">
        <v>277</v>
      </c>
      <c r="P15" s="123" t="s">
        <v>277</v>
      </c>
      <c r="Q15" s="123">
        <v>0.15809999999999999</v>
      </c>
      <c r="R15" s="36">
        <f t="shared" si="1"/>
        <v>18.971999999999998</v>
      </c>
      <c r="S15" s="123">
        <v>0.1177</v>
      </c>
      <c r="T15" s="36">
        <f t="shared" si="2"/>
        <v>129.47</v>
      </c>
      <c r="U15" s="124"/>
      <c r="V15" s="21"/>
      <c r="W15" s="21"/>
    </row>
    <row r="16" spans="1:23" ht="15" thickBot="1" x14ac:dyDescent="0.35">
      <c r="A16" s="16">
        <v>14</v>
      </c>
      <c r="B16" s="114"/>
      <c r="C16" s="72" t="s">
        <v>224</v>
      </c>
      <c r="D16" s="41" t="s">
        <v>46</v>
      </c>
      <c r="E16" s="41" t="s">
        <v>108</v>
      </c>
      <c r="F16" s="41" t="s">
        <v>119</v>
      </c>
      <c r="G16" s="42" t="s">
        <v>225</v>
      </c>
      <c r="H16" s="41" t="s">
        <v>220</v>
      </c>
      <c r="I16" s="41" t="s">
        <v>48</v>
      </c>
      <c r="J16" s="73">
        <v>1</v>
      </c>
      <c r="K16" s="45">
        <v>10</v>
      </c>
      <c r="L16" s="45">
        <v>120</v>
      </c>
      <c r="M16" s="45">
        <v>1100</v>
      </c>
      <c r="N16" s="46" t="s">
        <v>251</v>
      </c>
      <c r="O16" s="47">
        <v>7.3099999999999998E-2</v>
      </c>
      <c r="P16" s="47">
        <f t="shared" si="0"/>
        <v>0.73099999999999998</v>
      </c>
      <c r="Q16" s="47">
        <v>5.33E-2</v>
      </c>
      <c r="R16" s="47">
        <f t="shared" si="1"/>
        <v>6.3959999999999999</v>
      </c>
      <c r="S16" s="47">
        <v>4.3700000000000003E-2</v>
      </c>
      <c r="T16" s="47">
        <f t="shared" si="2"/>
        <v>48.07</v>
      </c>
      <c r="U16" s="26"/>
      <c r="V16" s="3"/>
      <c r="W16" s="3"/>
    </row>
    <row r="17" spans="1:23" ht="15" thickBot="1" x14ac:dyDescent="0.35">
      <c r="A17" s="16">
        <v>15</v>
      </c>
      <c r="B17" s="113" t="s">
        <v>73</v>
      </c>
      <c r="C17" s="74" t="s">
        <v>120</v>
      </c>
      <c r="D17" s="48" t="s">
        <v>121</v>
      </c>
      <c r="E17" s="48" t="s">
        <v>122</v>
      </c>
      <c r="F17" s="48" t="s">
        <v>123</v>
      </c>
      <c r="G17" s="48" t="s">
        <v>257</v>
      </c>
      <c r="H17" s="48" t="s">
        <v>220</v>
      </c>
      <c r="I17" s="48" t="s">
        <v>220</v>
      </c>
      <c r="J17" s="75">
        <v>4</v>
      </c>
      <c r="K17" s="50">
        <v>50</v>
      </c>
      <c r="L17" s="50">
        <v>450</v>
      </c>
      <c r="M17" s="50">
        <v>4100</v>
      </c>
      <c r="N17" s="51" t="s">
        <v>251</v>
      </c>
      <c r="O17" s="52">
        <v>1.52E-2</v>
      </c>
      <c r="P17" s="52">
        <f t="shared" si="0"/>
        <v>0.76</v>
      </c>
      <c r="Q17" s="52">
        <v>1.52E-2</v>
      </c>
      <c r="R17" s="52">
        <f t="shared" si="1"/>
        <v>6.84</v>
      </c>
      <c r="S17" s="52">
        <v>1.0999999999999999E-2</v>
      </c>
      <c r="T17" s="52">
        <f t="shared" si="2"/>
        <v>45.099999999999994</v>
      </c>
      <c r="U17" s="76"/>
      <c r="V17" s="3"/>
      <c r="W17" s="3"/>
    </row>
    <row r="18" spans="1:23" ht="15" thickBot="1" x14ac:dyDescent="0.35">
      <c r="A18" s="16">
        <v>16</v>
      </c>
      <c r="B18" s="113"/>
      <c r="C18" s="55" t="s">
        <v>124</v>
      </c>
      <c r="D18" s="56" t="s">
        <v>125</v>
      </c>
      <c r="E18" s="56" t="s">
        <v>126</v>
      </c>
      <c r="F18" s="56" t="s">
        <v>127</v>
      </c>
      <c r="G18" s="56" t="s">
        <v>266</v>
      </c>
      <c r="H18" s="58" t="s">
        <v>220</v>
      </c>
      <c r="I18" s="77" t="s">
        <v>267</v>
      </c>
      <c r="J18" s="78">
        <v>4</v>
      </c>
      <c r="K18" s="59">
        <v>50</v>
      </c>
      <c r="L18" s="59">
        <v>450</v>
      </c>
      <c r="M18" s="59">
        <v>4100</v>
      </c>
      <c r="N18" s="60" t="s">
        <v>251</v>
      </c>
      <c r="O18" s="61">
        <v>8.6E-3</v>
      </c>
      <c r="P18" s="61">
        <f t="shared" si="0"/>
        <v>0.43</v>
      </c>
      <c r="Q18" s="61">
        <v>8.6E-3</v>
      </c>
      <c r="R18" s="61">
        <f t="shared" si="1"/>
        <v>3.87</v>
      </c>
      <c r="S18" s="61">
        <v>5.8999999999999999E-3</v>
      </c>
      <c r="T18" s="61">
        <f t="shared" si="2"/>
        <v>24.189999999999998</v>
      </c>
      <c r="U18" s="79"/>
      <c r="V18" s="3"/>
      <c r="W18" s="3"/>
    </row>
    <row r="19" spans="1:23" ht="28.2" thickBot="1" x14ac:dyDescent="0.35">
      <c r="A19" s="16">
        <v>17</v>
      </c>
      <c r="B19" s="112" t="s">
        <v>27</v>
      </c>
      <c r="C19" s="63" t="s">
        <v>128</v>
      </c>
      <c r="D19" s="64" t="s">
        <v>129</v>
      </c>
      <c r="E19" s="80" t="s">
        <v>226</v>
      </c>
      <c r="F19" s="64" t="s">
        <v>50</v>
      </c>
      <c r="G19" s="65" t="s">
        <v>70</v>
      </c>
      <c r="H19" s="64" t="s">
        <v>220</v>
      </c>
      <c r="I19" s="64" t="s">
        <v>220</v>
      </c>
      <c r="J19" s="81">
        <v>1</v>
      </c>
      <c r="K19" s="67">
        <v>20</v>
      </c>
      <c r="L19" s="67">
        <v>120</v>
      </c>
      <c r="M19" s="67">
        <v>1100</v>
      </c>
      <c r="N19" s="68" t="s">
        <v>251</v>
      </c>
      <c r="O19" s="69">
        <v>5.3699999999999998E-2</v>
      </c>
      <c r="P19" s="69">
        <f t="shared" si="0"/>
        <v>1.0739999999999998</v>
      </c>
      <c r="Q19" s="69">
        <v>4.0599999999999997E-2</v>
      </c>
      <c r="R19" s="69">
        <f>Q19*L19</f>
        <v>4.8719999999999999</v>
      </c>
      <c r="S19" s="69">
        <v>3.5799999999999998E-2</v>
      </c>
      <c r="T19" s="69">
        <f t="shared" si="2"/>
        <v>39.379999999999995</v>
      </c>
      <c r="U19" s="14"/>
      <c r="V19" s="3"/>
      <c r="W19" s="3"/>
    </row>
    <row r="20" spans="1:23" ht="28.2" thickBot="1" x14ac:dyDescent="0.35">
      <c r="A20" s="16">
        <v>18</v>
      </c>
      <c r="B20" s="113"/>
      <c r="C20" s="29" t="s">
        <v>130</v>
      </c>
      <c r="D20" s="30" t="s">
        <v>131</v>
      </c>
      <c r="E20" s="30" t="s">
        <v>61</v>
      </c>
      <c r="F20" s="30" t="s">
        <v>62</v>
      </c>
      <c r="G20" s="31" t="s">
        <v>258</v>
      </c>
      <c r="H20" s="64" t="s">
        <v>220</v>
      </c>
      <c r="I20" s="64" t="s">
        <v>220</v>
      </c>
      <c r="J20" s="33">
        <v>2</v>
      </c>
      <c r="K20" s="34">
        <v>20</v>
      </c>
      <c r="L20" s="34">
        <v>230</v>
      </c>
      <c r="M20" s="34">
        <v>2100</v>
      </c>
      <c r="N20" s="35" t="s">
        <v>251</v>
      </c>
      <c r="O20" s="36">
        <v>6.1499999999999999E-2</v>
      </c>
      <c r="P20" s="36">
        <f t="shared" si="0"/>
        <v>1.23</v>
      </c>
      <c r="Q20" s="82">
        <v>4.53E-2</v>
      </c>
      <c r="R20" s="36">
        <f t="shared" si="1"/>
        <v>10.419</v>
      </c>
      <c r="S20" s="36">
        <v>3.7499999999999999E-2</v>
      </c>
      <c r="T20" s="36">
        <f t="shared" si="2"/>
        <v>78.75</v>
      </c>
      <c r="U20" s="15"/>
      <c r="V20" s="3"/>
      <c r="W20" s="3"/>
    </row>
    <row r="21" spans="1:23" ht="15" thickBot="1" x14ac:dyDescent="0.35">
      <c r="A21" s="16">
        <v>19</v>
      </c>
      <c r="B21" s="114"/>
      <c r="C21" s="40" t="s">
        <v>132</v>
      </c>
      <c r="D21" s="41" t="s">
        <v>133</v>
      </c>
      <c r="E21" s="43" t="s">
        <v>227</v>
      </c>
      <c r="F21" s="41" t="s">
        <v>134</v>
      </c>
      <c r="G21" s="42" t="s">
        <v>221</v>
      </c>
      <c r="H21" s="41" t="s">
        <v>220</v>
      </c>
      <c r="I21" s="41" t="s">
        <v>220</v>
      </c>
      <c r="J21" s="44">
        <v>1</v>
      </c>
      <c r="K21" s="45">
        <v>10</v>
      </c>
      <c r="L21" s="45">
        <v>120</v>
      </c>
      <c r="M21" s="45">
        <v>1100</v>
      </c>
      <c r="N21" s="46" t="s">
        <v>251</v>
      </c>
      <c r="O21" s="47">
        <v>0.1489</v>
      </c>
      <c r="P21" s="47">
        <f t="shared" si="0"/>
        <v>1.4890000000000001</v>
      </c>
      <c r="Q21" s="47">
        <v>0.11360000000000001</v>
      </c>
      <c r="R21" s="47">
        <f t="shared" si="1"/>
        <v>13.632000000000001</v>
      </c>
      <c r="S21" s="47">
        <v>8.0600000000000005E-2</v>
      </c>
      <c r="T21" s="47">
        <f t="shared" si="2"/>
        <v>88.660000000000011</v>
      </c>
      <c r="U21" s="83"/>
      <c r="V21" s="3"/>
      <c r="W21" s="3"/>
    </row>
    <row r="22" spans="1:23" ht="15" thickBot="1" x14ac:dyDescent="0.35">
      <c r="A22" s="16">
        <v>20</v>
      </c>
      <c r="B22" s="112" t="s">
        <v>16</v>
      </c>
      <c r="C22" s="63" t="s">
        <v>135</v>
      </c>
      <c r="D22" s="64" t="s">
        <v>136</v>
      </c>
      <c r="E22" s="64" t="s">
        <v>137</v>
      </c>
      <c r="F22" s="64" t="s">
        <v>138</v>
      </c>
      <c r="G22" s="65" t="s">
        <v>66</v>
      </c>
      <c r="H22" s="64" t="s">
        <v>220</v>
      </c>
      <c r="I22" s="64" t="s">
        <v>54</v>
      </c>
      <c r="J22" s="81">
        <v>5</v>
      </c>
      <c r="K22" s="67">
        <v>100</v>
      </c>
      <c r="L22" s="67">
        <v>600</v>
      </c>
      <c r="M22" s="67">
        <v>5200</v>
      </c>
      <c r="N22" s="68" t="s">
        <v>251</v>
      </c>
      <c r="O22" s="69">
        <v>1.4E-3</v>
      </c>
      <c r="P22" s="69">
        <f t="shared" si="0"/>
        <v>0.13999999999999999</v>
      </c>
      <c r="Q22" s="69">
        <v>1.4E-3</v>
      </c>
      <c r="R22" s="69">
        <f t="shared" si="1"/>
        <v>0.84</v>
      </c>
      <c r="S22" s="69">
        <v>8.9999999999999998E-4</v>
      </c>
      <c r="T22" s="69">
        <f t="shared" si="2"/>
        <v>4.68</v>
      </c>
      <c r="U22" s="84"/>
      <c r="V22" s="3"/>
      <c r="W22" s="3"/>
    </row>
    <row r="23" spans="1:23" ht="15" thickBot="1" x14ac:dyDescent="0.35">
      <c r="A23" s="16">
        <v>21</v>
      </c>
      <c r="B23" s="113"/>
      <c r="C23" s="29" t="s">
        <v>139</v>
      </c>
      <c r="D23" s="30" t="s">
        <v>140</v>
      </c>
      <c r="E23" s="30" t="s">
        <v>137</v>
      </c>
      <c r="F23" s="30" t="s">
        <v>141</v>
      </c>
      <c r="G23" s="31" t="s">
        <v>66</v>
      </c>
      <c r="H23" s="30" t="s">
        <v>220</v>
      </c>
      <c r="I23" s="30" t="s">
        <v>6</v>
      </c>
      <c r="J23" s="33">
        <v>6</v>
      </c>
      <c r="K23" s="34">
        <v>100</v>
      </c>
      <c r="L23" s="34">
        <v>700</v>
      </c>
      <c r="M23" s="34">
        <v>6200</v>
      </c>
      <c r="N23" s="35" t="s">
        <v>251</v>
      </c>
      <c r="O23" s="36">
        <v>1.4E-3</v>
      </c>
      <c r="P23" s="36">
        <f>O23*K23</f>
        <v>0.13999999999999999</v>
      </c>
      <c r="Q23" s="36">
        <v>1.4E-3</v>
      </c>
      <c r="R23" s="36">
        <f>L23*Q23</f>
        <v>0.98</v>
      </c>
      <c r="S23" s="36">
        <v>8.9999999999999998E-4</v>
      </c>
      <c r="T23" s="36">
        <f t="shared" si="2"/>
        <v>5.58</v>
      </c>
      <c r="U23" s="25"/>
      <c r="V23" s="3"/>
      <c r="W23" s="3"/>
    </row>
    <row r="24" spans="1:23" ht="15" thickBot="1" x14ac:dyDescent="0.35">
      <c r="A24" s="16">
        <v>22</v>
      </c>
      <c r="B24" s="113"/>
      <c r="C24" s="29" t="s">
        <v>142</v>
      </c>
      <c r="D24" s="30" t="s">
        <v>24</v>
      </c>
      <c r="E24" s="30" t="s">
        <v>137</v>
      </c>
      <c r="F24" s="38" t="s">
        <v>143</v>
      </c>
      <c r="G24" s="31" t="s">
        <v>228</v>
      </c>
      <c r="H24" s="30" t="s">
        <v>271</v>
      </c>
      <c r="I24" s="30" t="s">
        <v>170</v>
      </c>
      <c r="J24" s="33">
        <v>1</v>
      </c>
      <c r="K24" s="34">
        <v>50</v>
      </c>
      <c r="L24" s="34">
        <v>150</v>
      </c>
      <c r="M24" s="34">
        <v>1100</v>
      </c>
      <c r="N24" s="35" t="s">
        <v>251</v>
      </c>
      <c r="O24" s="36">
        <v>9.1999999999999998E-3</v>
      </c>
      <c r="P24" s="36">
        <f t="shared" si="0"/>
        <v>0.45999999999999996</v>
      </c>
      <c r="Q24" s="36">
        <v>9.1999999999999998E-3</v>
      </c>
      <c r="R24" s="36">
        <f t="shared" si="1"/>
        <v>1.38</v>
      </c>
      <c r="S24" s="36">
        <v>6.8999999999999999E-3</v>
      </c>
      <c r="T24" s="36">
        <f t="shared" si="2"/>
        <v>7.59</v>
      </c>
      <c r="U24" s="25"/>
      <c r="V24" s="3"/>
      <c r="W24" s="3"/>
    </row>
    <row r="25" spans="1:23" ht="15" thickBot="1" x14ac:dyDescent="0.35">
      <c r="A25" s="16">
        <v>23</v>
      </c>
      <c r="B25" s="113"/>
      <c r="C25" s="29" t="s">
        <v>144</v>
      </c>
      <c r="D25" s="30" t="s">
        <v>51</v>
      </c>
      <c r="E25" s="30" t="s">
        <v>137</v>
      </c>
      <c r="F25" s="30" t="s">
        <v>145</v>
      </c>
      <c r="G25" s="31" t="s">
        <v>66</v>
      </c>
      <c r="H25" s="30" t="s">
        <v>220</v>
      </c>
      <c r="I25" s="30" t="s">
        <v>171</v>
      </c>
      <c r="J25" s="33">
        <v>1</v>
      </c>
      <c r="K25" s="34">
        <v>100</v>
      </c>
      <c r="L25" s="34">
        <v>200</v>
      </c>
      <c r="M25" s="34">
        <v>1100</v>
      </c>
      <c r="N25" s="35" t="s">
        <v>251</v>
      </c>
      <c r="O25" s="36">
        <v>1.2999999999999999E-3</v>
      </c>
      <c r="P25" s="36">
        <f t="shared" si="0"/>
        <v>0.13</v>
      </c>
      <c r="Q25" s="36">
        <v>1.2999999999999999E-3</v>
      </c>
      <c r="R25" s="36">
        <f t="shared" si="1"/>
        <v>0.26</v>
      </c>
      <c r="S25" s="36">
        <v>8.9999999999999998E-4</v>
      </c>
      <c r="T25" s="36">
        <f t="shared" si="2"/>
        <v>0.99</v>
      </c>
      <c r="U25" s="37"/>
      <c r="V25" s="3"/>
      <c r="W25" s="3"/>
    </row>
    <row r="26" spans="1:23" ht="15" thickBot="1" x14ac:dyDescent="0.35">
      <c r="A26" s="16">
        <v>24</v>
      </c>
      <c r="B26" s="113"/>
      <c r="C26" s="29" t="s">
        <v>146</v>
      </c>
      <c r="D26" s="30" t="s">
        <v>147</v>
      </c>
      <c r="E26" s="30" t="s">
        <v>137</v>
      </c>
      <c r="F26" s="30" t="s">
        <v>148</v>
      </c>
      <c r="G26" s="31" t="s">
        <v>66</v>
      </c>
      <c r="H26" s="30" t="s">
        <v>220</v>
      </c>
      <c r="I26" s="30" t="s">
        <v>26</v>
      </c>
      <c r="J26" s="33">
        <v>7</v>
      </c>
      <c r="K26" s="34">
        <v>100</v>
      </c>
      <c r="L26" s="34">
        <v>800</v>
      </c>
      <c r="M26" s="34">
        <v>7100</v>
      </c>
      <c r="N26" s="35" t="s">
        <v>251</v>
      </c>
      <c r="O26" s="36">
        <v>1.4E-3</v>
      </c>
      <c r="P26" s="36">
        <f t="shared" si="0"/>
        <v>0.13999999999999999</v>
      </c>
      <c r="Q26" s="36">
        <v>1.4E-3</v>
      </c>
      <c r="R26" s="36">
        <f t="shared" si="1"/>
        <v>1.1199999999999999</v>
      </c>
      <c r="S26" s="36">
        <v>1E-3</v>
      </c>
      <c r="T26" s="36">
        <f t="shared" si="2"/>
        <v>7.1000000000000005</v>
      </c>
      <c r="U26" s="25"/>
      <c r="V26" s="3"/>
      <c r="W26" s="3"/>
    </row>
    <row r="27" spans="1:23" ht="15" thickBot="1" x14ac:dyDescent="0.35">
      <c r="A27" s="16">
        <v>25</v>
      </c>
      <c r="B27" s="113"/>
      <c r="C27" s="29" t="s">
        <v>149</v>
      </c>
      <c r="D27" s="30" t="s">
        <v>150</v>
      </c>
      <c r="E27" s="30" t="s">
        <v>151</v>
      </c>
      <c r="F27" s="30" t="s">
        <v>152</v>
      </c>
      <c r="G27" s="31" t="s">
        <v>66</v>
      </c>
      <c r="H27" s="30" t="s">
        <v>220</v>
      </c>
      <c r="I27" s="30" t="s">
        <v>172</v>
      </c>
      <c r="J27" s="33">
        <v>1</v>
      </c>
      <c r="K27" s="34">
        <v>10</v>
      </c>
      <c r="L27" s="34">
        <v>120</v>
      </c>
      <c r="M27" s="34">
        <v>1100</v>
      </c>
      <c r="N27" s="35" t="s">
        <v>251</v>
      </c>
      <c r="O27" s="36">
        <v>0.1472</v>
      </c>
      <c r="P27" s="36">
        <f t="shared" si="0"/>
        <v>1.472</v>
      </c>
      <c r="Q27" s="36">
        <v>0.11310000000000001</v>
      </c>
      <c r="R27" s="36">
        <f t="shared" si="1"/>
        <v>13.572000000000001</v>
      </c>
      <c r="S27" s="36">
        <v>8.2500000000000004E-2</v>
      </c>
      <c r="T27" s="36">
        <f t="shared" si="2"/>
        <v>90.75</v>
      </c>
      <c r="U27" s="37"/>
      <c r="V27" s="3"/>
      <c r="W27" s="3"/>
    </row>
    <row r="28" spans="1:23" ht="15" thickBot="1" x14ac:dyDescent="0.35">
      <c r="A28" s="16">
        <v>26</v>
      </c>
      <c r="B28" s="113"/>
      <c r="C28" s="29" t="s">
        <v>153</v>
      </c>
      <c r="D28" s="30" t="s">
        <v>25</v>
      </c>
      <c r="E28" s="30" t="s">
        <v>137</v>
      </c>
      <c r="F28" s="30" t="s">
        <v>154</v>
      </c>
      <c r="G28" s="31" t="s">
        <v>229</v>
      </c>
      <c r="H28" s="30" t="s">
        <v>220</v>
      </c>
      <c r="I28" s="30" t="s">
        <v>56</v>
      </c>
      <c r="J28" s="33">
        <v>1</v>
      </c>
      <c r="K28" s="34">
        <v>50</v>
      </c>
      <c r="L28" s="34">
        <v>150</v>
      </c>
      <c r="M28" s="34">
        <v>1100</v>
      </c>
      <c r="N28" s="35" t="s">
        <v>251</v>
      </c>
      <c r="O28" s="36">
        <v>8.3999999999999995E-3</v>
      </c>
      <c r="P28" s="36">
        <f t="shared" si="0"/>
        <v>0.42</v>
      </c>
      <c r="Q28" s="36">
        <v>6.1999999999999998E-3</v>
      </c>
      <c r="R28" s="36">
        <f t="shared" si="1"/>
        <v>0.92999999999999994</v>
      </c>
      <c r="S28" s="36">
        <v>6.1999999999999998E-3</v>
      </c>
      <c r="T28" s="36">
        <f t="shared" si="2"/>
        <v>6.8199999999999994</v>
      </c>
      <c r="U28" s="25"/>
      <c r="V28" s="3"/>
      <c r="W28" s="3"/>
    </row>
    <row r="29" spans="1:23" ht="15" thickBot="1" x14ac:dyDescent="0.35">
      <c r="A29" s="16">
        <v>27</v>
      </c>
      <c r="B29" s="113"/>
      <c r="C29" s="71" t="s">
        <v>230</v>
      </c>
      <c r="D29" s="30" t="s">
        <v>52</v>
      </c>
      <c r="E29" s="30" t="s">
        <v>137</v>
      </c>
      <c r="F29" s="30" t="s">
        <v>155</v>
      </c>
      <c r="G29" s="31" t="s">
        <v>66</v>
      </c>
      <c r="H29" s="30" t="s">
        <v>220</v>
      </c>
      <c r="I29" s="30" t="s">
        <v>55</v>
      </c>
      <c r="J29" s="33">
        <v>1</v>
      </c>
      <c r="K29" s="34">
        <v>100</v>
      </c>
      <c r="L29" s="34">
        <v>200</v>
      </c>
      <c r="M29" s="34">
        <v>1100</v>
      </c>
      <c r="N29" s="35" t="s">
        <v>251</v>
      </c>
      <c r="O29" s="36">
        <v>2.5999999999999999E-3</v>
      </c>
      <c r="P29" s="36">
        <f t="shared" si="0"/>
        <v>0.26</v>
      </c>
      <c r="Q29" s="36">
        <v>2.5999999999999999E-3</v>
      </c>
      <c r="R29" s="36">
        <f t="shared" si="1"/>
        <v>0.52</v>
      </c>
      <c r="S29" s="36">
        <v>2E-3</v>
      </c>
      <c r="T29" s="36">
        <f t="shared" si="2"/>
        <v>2.2000000000000002</v>
      </c>
      <c r="U29" s="25"/>
      <c r="V29" s="3"/>
      <c r="W29" s="3"/>
    </row>
    <row r="30" spans="1:23" ht="15" thickBot="1" x14ac:dyDescent="0.35">
      <c r="A30" s="16">
        <v>28</v>
      </c>
      <c r="B30" s="113"/>
      <c r="C30" s="29" t="s">
        <v>156</v>
      </c>
      <c r="D30" s="30" t="s">
        <v>157</v>
      </c>
      <c r="E30" s="30" t="s">
        <v>137</v>
      </c>
      <c r="F30" s="30" t="s">
        <v>158</v>
      </c>
      <c r="G30" s="31" t="s">
        <v>66</v>
      </c>
      <c r="H30" s="30" t="s">
        <v>220</v>
      </c>
      <c r="I30" s="30" t="s">
        <v>57</v>
      </c>
      <c r="J30" s="33">
        <v>3</v>
      </c>
      <c r="K30" s="34">
        <v>100</v>
      </c>
      <c r="L30" s="34">
        <v>400</v>
      </c>
      <c r="M30" s="34">
        <v>3100</v>
      </c>
      <c r="N30" s="35" t="s">
        <v>251</v>
      </c>
      <c r="O30" s="36">
        <v>1.6999999999999999E-3</v>
      </c>
      <c r="P30" s="36">
        <f t="shared" si="0"/>
        <v>0.16999999999999998</v>
      </c>
      <c r="Q30" s="36">
        <v>1.6999999999999999E-3</v>
      </c>
      <c r="R30" s="36">
        <f t="shared" si="1"/>
        <v>0.67999999999999994</v>
      </c>
      <c r="S30" s="36">
        <v>1.2999999999999999E-3</v>
      </c>
      <c r="T30" s="36">
        <f t="shared" si="2"/>
        <v>4.03</v>
      </c>
      <c r="U30" s="25"/>
      <c r="V30" s="3"/>
      <c r="W30" s="3"/>
    </row>
    <row r="31" spans="1:23" ht="15" thickBot="1" x14ac:dyDescent="0.35">
      <c r="A31" s="16">
        <v>29</v>
      </c>
      <c r="B31" s="113"/>
      <c r="C31" s="29" t="s">
        <v>159</v>
      </c>
      <c r="D31" s="30" t="s">
        <v>53</v>
      </c>
      <c r="E31" s="30" t="s">
        <v>137</v>
      </c>
      <c r="F31" s="30" t="s">
        <v>160</v>
      </c>
      <c r="G31" s="31" t="s">
        <v>66</v>
      </c>
      <c r="H31" s="30" t="s">
        <v>220</v>
      </c>
      <c r="I31" s="30" t="s">
        <v>173</v>
      </c>
      <c r="J31" s="33">
        <v>1</v>
      </c>
      <c r="K31" s="34">
        <v>100</v>
      </c>
      <c r="L31" s="34">
        <v>200</v>
      </c>
      <c r="M31" s="34">
        <v>1100</v>
      </c>
      <c r="N31" s="35" t="s">
        <v>251</v>
      </c>
      <c r="O31" s="36">
        <v>2.0999999999999999E-3</v>
      </c>
      <c r="P31" s="36">
        <f t="shared" si="0"/>
        <v>0.21</v>
      </c>
      <c r="Q31" s="36">
        <v>2.0999999999999999E-3</v>
      </c>
      <c r="R31" s="36">
        <f t="shared" si="1"/>
        <v>0.42</v>
      </c>
      <c r="S31" s="36">
        <v>1.6999999999999999E-3</v>
      </c>
      <c r="T31" s="36">
        <f t="shared" si="2"/>
        <v>1.8699999999999999</v>
      </c>
      <c r="U31" s="25"/>
      <c r="V31" s="3"/>
      <c r="W31" s="3"/>
    </row>
    <row r="32" spans="1:23" ht="15" thickBot="1" x14ac:dyDescent="0.35">
      <c r="A32" s="16">
        <v>30</v>
      </c>
      <c r="B32" s="113"/>
      <c r="C32" s="71" t="s">
        <v>231</v>
      </c>
      <c r="D32" s="30" t="s">
        <v>161</v>
      </c>
      <c r="E32" s="30" t="s">
        <v>137</v>
      </c>
      <c r="F32" s="30" t="s">
        <v>162</v>
      </c>
      <c r="G32" s="31" t="s">
        <v>229</v>
      </c>
      <c r="H32" s="30" t="s">
        <v>220</v>
      </c>
      <c r="I32" s="30" t="s">
        <v>174</v>
      </c>
      <c r="J32" s="33">
        <v>1</v>
      </c>
      <c r="K32" s="34">
        <v>20</v>
      </c>
      <c r="L32" s="34">
        <v>120</v>
      </c>
      <c r="M32" s="34">
        <v>1100</v>
      </c>
      <c r="N32" s="35" t="s">
        <v>251</v>
      </c>
      <c r="O32" s="36">
        <v>3.5700000000000003E-2</v>
      </c>
      <c r="P32" s="36">
        <f t="shared" si="0"/>
        <v>0.71400000000000008</v>
      </c>
      <c r="Q32" s="36">
        <v>2.75E-2</v>
      </c>
      <c r="R32" s="36">
        <f t="shared" si="1"/>
        <v>3.3</v>
      </c>
      <c r="S32" s="36">
        <v>2.4500000000000001E-2</v>
      </c>
      <c r="T32" s="36">
        <f t="shared" si="2"/>
        <v>26.95</v>
      </c>
      <c r="U32" s="25"/>
      <c r="V32" s="3"/>
      <c r="W32" s="3"/>
    </row>
    <row r="33" spans="1:23" ht="15" thickBot="1" x14ac:dyDescent="0.35">
      <c r="A33" s="16">
        <v>31</v>
      </c>
      <c r="B33" s="113"/>
      <c r="C33" s="29" t="s">
        <v>163</v>
      </c>
      <c r="D33" s="30" t="s">
        <v>164</v>
      </c>
      <c r="E33" s="30" t="s">
        <v>137</v>
      </c>
      <c r="F33" s="31" t="s">
        <v>165</v>
      </c>
      <c r="G33" s="31" t="s">
        <v>66</v>
      </c>
      <c r="H33" s="30" t="s">
        <v>220</v>
      </c>
      <c r="I33" s="30" t="s">
        <v>175</v>
      </c>
      <c r="J33" s="33">
        <v>1</v>
      </c>
      <c r="K33" s="34">
        <v>100</v>
      </c>
      <c r="L33" s="34">
        <v>200</v>
      </c>
      <c r="M33" s="34">
        <v>1100</v>
      </c>
      <c r="N33" s="35" t="s">
        <v>251</v>
      </c>
      <c r="O33" s="36">
        <v>2.5000000000000001E-3</v>
      </c>
      <c r="P33" s="36">
        <f t="shared" si="0"/>
        <v>0.25</v>
      </c>
      <c r="Q33" s="36">
        <v>2.5000000000000001E-3</v>
      </c>
      <c r="R33" s="36">
        <f t="shared" si="1"/>
        <v>0.5</v>
      </c>
      <c r="S33" s="36">
        <v>1.9E-3</v>
      </c>
      <c r="T33" s="36">
        <f t="shared" si="2"/>
        <v>2.09</v>
      </c>
      <c r="U33" s="25"/>
      <c r="V33" s="3"/>
      <c r="W33" s="3"/>
    </row>
    <row r="34" spans="1:23" ht="15" thickBot="1" x14ac:dyDescent="0.35">
      <c r="A34" s="16">
        <v>32</v>
      </c>
      <c r="B34" s="114"/>
      <c r="C34" s="40" t="s">
        <v>166</v>
      </c>
      <c r="D34" s="41" t="s">
        <v>167</v>
      </c>
      <c r="E34" s="41" t="s">
        <v>168</v>
      </c>
      <c r="F34" s="41" t="s">
        <v>169</v>
      </c>
      <c r="G34" s="42" t="s">
        <v>229</v>
      </c>
      <c r="H34" s="85" t="s">
        <v>220</v>
      </c>
      <c r="I34" s="41" t="s">
        <v>176</v>
      </c>
      <c r="J34" s="44">
        <v>4</v>
      </c>
      <c r="K34" s="45">
        <f t="shared" si="3"/>
        <v>20</v>
      </c>
      <c r="L34" s="45">
        <v>450</v>
      </c>
      <c r="M34" s="45">
        <v>4100</v>
      </c>
      <c r="N34" s="46" t="s">
        <v>251</v>
      </c>
      <c r="O34" s="47">
        <v>6.7599999999999993E-2</v>
      </c>
      <c r="P34" s="47">
        <f t="shared" si="0"/>
        <v>1.3519999999999999</v>
      </c>
      <c r="Q34" s="47">
        <v>4.6300000000000001E-2</v>
      </c>
      <c r="R34" s="47">
        <f t="shared" si="1"/>
        <v>20.835000000000001</v>
      </c>
      <c r="S34" s="47">
        <v>4.0899999999999999E-2</v>
      </c>
      <c r="T34" s="47">
        <f t="shared" si="2"/>
        <v>167.69</v>
      </c>
      <c r="U34" s="26"/>
      <c r="V34" s="3"/>
      <c r="W34" s="3"/>
    </row>
    <row r="35" spans="1:23" ht="28.2" thickBot="1" x14ac:dyDescent="0.35">
      <c r="A35" s="16">
        <v>33</v>
      </c>
      <c r="B35" s="113" t="s">
        <v>74</v>
      </c>
      <c r="C35" s="74" t="s">
        <v>177</v>
      </c>
      <c r="D35" s="48" t="s">
        <v>178</v>
      </c>
      <c r="E35" s="48" t="s">
        <v>108</v>
      </c>
      <c r="F35" s="48" t="s">
        <v>179</v>
      </c>
      <c r="G35" s="49" t="s">
        <v>259</v>
      </c>
      <c r="H35" s="86" t="s">
        <v>220</v>
      </c>
      <c r="I35" s="86" t="s">
        <v>220</v>
      </c>
      <c r="J35" s="87">
        <v>1</v>
      </c>
      <c r="K35" s="50">
        <v>10</v>
      </c>
      <c r="L35" s="50">
        <v>120</v>
      </c>
      <c r="M35" s="50">
        <v>1100</v>
      </c>
      <c r="N35" s="51" t="s">
        <v>251</v>
      </c>
      <c r="O35" s="52">
        <v>5.1799999999999999E-2</v>
      </c>
      <c r="P35" s="52">
        <f t="shared" si="0"/>
        <v>0.51800000000000002</v>
      </c>
      <c r="Q35" s="52">
        <v>3.7400000000000003E-2</v>
      </c>
      <c r="R35" s="52">
        <f t="shared" si="1"/>
        <v>4.4880000000000004</v>
      </c>
      <c r="S35" s="52">
        <v>1.29E-2</v>
      </c>
      <c r="T35" s="52">
        <f t="shared" si="2"/>
        <v>14.19</v>
      </c>
      <c r="U35" s="53"/>
      <c r="V35" s="3"/>
      <c r="W35" s="3"/>
    </row>
    <row r="36" spans="1:23" ht="15" thickBot="1" x14ac:dyDescent="0.35">
      <c r="A36" s="16">
        <v>34</v>
      </c>
      <c r="B36" s="113"/>
      <c r="C36" s="88" t="s">
        <v>232</v>
      </c>
      <c r="D36" s="56" t="s">
        <v>180</v>
      </c>
      <c r="E36" s="56" t="s">
        <v>108</v>
      </c>
      <c r="F36" s="56" t="s">
        <v>58</v>
      </c>
      <c r="G36" s="57" t="s">
        <v>233</v>
      </c>
      <c r="H36" s="56" t="s">
        <v>220</v>
      </c>
      <c r="I36" s="56" t="s">
        <v>220</v>
      </c>
      <c r="J36" s="89">
        <v>1</v>
      </c>
      <c r="K36" s="59">
        <v>10</v>
      </c>
      <c r="L36" s="59">
        <v>120</v>
      </c>
      <c r="M36" s="59">
        <v>1100</v>
      </c>
      <c r="N36" s="60" t="s">
        <v>251</v>
      </c>
      <c r="O36" s="61">
        <v>0.1308</v>
      </c>
      <c r="P36" s="61">
        <f t="shared" si="0"/>
        <v>1.3080000000000001</v>
      </c>
      <c r="Q36" s="61">
        <v>9.5200000000000007E-2</v>
      </c>
      <c r="R36" s="61">
        <f t="shared" si="1"/>
        <v>11.424000000000001</v>
      </c>
      <c r="S36" s="61">
        <v>8.2100000000000006E-2</v>
      </c>
      <c r="T36" s="61">
        <f t="shared" si="2"/>
        <v>90.31</v>
      </c>
      <c r="U36" s="62"/>
      <c r="V36" s="3"/>
      <c r="W36" s="3"/>
    </row>
    <row r="37" spans="1:23" ht="15" thickBot="1" x14ac:dyDescent="0.35">
      <c r="A37" s="16">
        <v>35</v>
      </c>
      <c r="B37" s="112" t="s">
        <v>75</v>
      </c>
      <c r="C37" s="63" t="s">
        <v>181</v>
      </c>
      <c r="D37" s="64" t="s">
        <v>32</v>
      </c>
      <c r="E37" s="64" t="s">
        <v>182</v>
      </c>
      <c r="F37" s="64" t="s">
        <v>64</v>
      </c>
      <c r="G37" s="65" t="s">
        <v>268</v>
      </c>
      <c r="H37" s="64" t="s">
        <v>220</v>
      </c>
      <c r="I37" s="64" t="s">
        <v>220</v>
      </c>
      <c r="J37" s="81">
        <v>1</v>
      </c>
      <c r="K37" s="67">
        <v>7</v>
      </c>
      <c r="L37" s="67">
        <v>105</v>
      </c>
      <c r="M37" s="67">
        <v>1020</v>
      </c>
      <c r="N37" s="68" t="s">
        <v>278</v>
      </c>
      <c r="O37" s="69">
        <v>2.8319999999999999</v>
      </c>
      <c r="P37" s="69">
        <f t="shared" si="0"/>
        <v>19.823999999999998</v>
      </c>
      <c r="Q37" s="69">
        <v>1.8691199999999999</v>
      </c>
      <c r="R37" s="69">
        <f t="shared" si="1"/>
        <v>196.2576</v>
      </c>
      <c r="S37" s="69">
        <v>1.6992</v>
      </c>
      <c r="T37" s="69">
        <f t="shared" si="2"/>
        <v>1733.184</v>
      </c>
      <c r="U37" s="90"/>
      <c r="V37" s="3"/>
      <c r="W37" s="3"/>
    </row>
    <row r="38" spans="1:23" ht="15" thickBot="1" x14ac:dyDescent="0.35">
      <c r="A38" s="16">
        <v>36</v>
      </c>
      <c r="B38" s="113"/>
      <c r="C38" s="29" t="s">
        <v>183</v>
      </c>
      <c r="D38" s="30" t="s">
        <v>33</v>
      </c>
      <c r="E38" s="30" t="s">
        <v>184</v>
      </c>
      <c r="F38" s="30" t="s">
        <v>185</v>
      </c>
      <c r="G38" s="31" t="s">
        <v>260</v>
      </c>
      <c r="H38" s="30" t="s">
        <v>220</v>
      </c>
      <c r="I38" s="30" t="s">
        <v>220</v>
      </c>
      <c r="J38" s="33">
        <v>1</v>
      </c>
      <c r="K38" s="34">
        <v>7</v>
      </c>
      <c r="L38" s="34">
        <v>105</v>
      </c>
      <c r="M38" s="34">
        <v>1020</v>
      </c>
      <c r="N38" s="35" t="s">
        <v>251</v>
      </c>
      <c r="O38" s="36">
        <v>0.37019999999999997</v>
      </c>
      <c r="P38" s="36">
        <f t="shared" si="0"/>
        <v>2.5913999999999997</v>
      </c>
      <c r="Q38" s="36">
        <v>0.25190000000000001</v>
      </c>
      <c r="R38" s="36">
        <f t="shared" si="1"/>
        <v>26.4495</v>
      </c>
      <c r="S38" s="36">
        <v>0.24160000000000001</v>
      </c>
      <c r="T38" s="36">
        <f t="shared" si="2"/>
        <v>246.43200000000002</v>
      </c>
      <c r="U38" s="25"/>
      <c r="V38" s="3"/>
      <c r="W38" s="3"/>
    </row>
    <row r="39" spans="1:23" ht="15" thickBot="1" x14ac:dyDescent="0.35">
      <c r="A39" s="16">
        <v>37</v>
      </c>
      <c r="B39" s="113"/>
      <c r="C39" s="71" t="s">
        <v>236</v>
      </c>
      <c r="D39" s="30" t="s">
        <v>34</v>
      </c>
      <c r="E39" s="32" t="s">
        <v>235</v>
      </c>
      <c r="F39" s="30" t="s">
        <v>186</v>
      </c>
      <c r="G39" s="31" t="s">
        <v>237</v>
      </c>
      <c r="H39" s="30" t="s">
        <v>220</v>
      </c>
      <c r="I39" s="30" t="s">
        <v>220</v>
      </c>
      <c r="J39" s="33">
        <v>1</v>
      </c>
      <c r="K39" s="34">
        <f t="shared" si="3"/>
        <v>5</v>
      </c>
      <c r="L39" s="34">
        <f t="shared" si="4"/>
        <v>100</v>
      </c>
      <c r="M39" s="34">
        <f t="shared" si="5"/>
        <v>1000</v>
      </c>
      <c r="N39" s="35" t="s">
        <v>17</v>
      </c>
      <c r="O39" s="36">
        <v>0.48</v>
      </c>
      <c r="P39" s="36">
        <f t="shared" si="0"/>
        <v>2.4</v>
      </c>
      <c r="Q39" s="36">
        <v>0.2656</v>
      </c>
      <c r="R39" s="36">
        <f t="shared" si="1"/>
        <v>26.56</v>
      </c>
      <c r="S39" s="36">
        <v>0.14940000000000001</v>
      </c>
      <c r="T39" s="36">
        <f t="shared" si="2"/>
        <v>149.4</v>
      </c>
      <c r="U39" s="25"/>
      <c r="V39" s="3"/>
      <c r="W39" s="3"/>
    </row>
    <row r="40" spans="1:23" ht="15" thickBot="1" x14ac:dyDescent="0.35">
      <c r="A40" s="16">
        <v>38</v>
      </c>
      <c r="B40" s="113"/>
      <c r="C40" s="29" t="s">
        <v>187</v>
      </c>
      <c r="D40" s="30" t="s">
        <v>35</v>
      </c>
      <c r="E40" s="32" t="s">
        <v>239</v>
      </c>
      <c r="F40" s="30" t="s">
        <v>188</v>
      </c>
      <c r="G40" s="31" t="s">
        <v>238</v>
      </c>
      <c r="H40" s="30" t="s">
        <v>220</v>
      </c>
      <c r="I40" s="30" t="s">
        <v>220</v>
      </c>
      <c r="J40" s="33">
        <v>1</v>
      </c>
      <c r="K40" s="34">
        <f t="shared" si="3"/>
        <v>5</v>
      </c>
      <c r="L40" s="34">
        <f t="shared" si="4"/>
        <v>100</v>
      </c>
      <c r="M40" s="34">
        <f t="shared" si="5"/>
        <v>1000</v>
      </c>
      <c r="N40" s="35" t="s">
        <v>17</v>
      </c>
      <c r="O40" s="36">
        <v>0.67</v>
      </c>
      <c r="P40" s="36">
        <f t="shared" si="0"/>
        <v>3.35</v>
      </c>
      <c r="Q40" s="36">
        <v>0.45290000000000002</v>
      </c>
      <c r="R40" s="36">
        <f t="shared" si="1"/>
        <v>45.29</v>
      </c>
      <c r="S40" s="36">
        <v>0.28639999999999999</v>
      </c>
      <c r="T40" s="36">
        <f t="shared" si="2"/>
        <v>286.39999999999998</v>
      </c>
      <c r="U40" s="25"/>
      <c r="V40" s="3"/>
      <c r="W40" s="3"/>
    </row>
    <row r="41" spans="1:23" ht="15" thickBot="1" x14ac:dyDescent="0.35">
      <c r="A41" s="16">
        <v>39</v>
      </c>
      <c r="B41" s="113"/>
      <c r="C41" s="71" t="s">
        <v>241</v>
      </c>
      <c r="D41" s="30" t="s">
        <v>60</v>
      </c>
      <c r="E41" s="32" t="s">
        <v>240</v>
      </c>
      <c r="F41" s="30" t="s">
        <v>189</v>
      </c>
      <c r="G41" s="31" t="s">
        <v>69</v>
      </c>
      <c r="H41" s="30" t="s">
        <v>220</v>
      </c>
      <c r="I41" s="30" t="s">
        <v>220</v>
      </c>
      <c r="J41" s="33">
        <v>1</v>
      </c>
      <c r="K41" s="34">
        <f t="shared" si="3"/>
        <v>5</v>
      </c>
      <c r="L41" s="34">
        <f t="shared" si="4"/>
        <v>100</v>
      </c>
      <c r="M41" s="34">
        <f t="shared" si="5"/>
        <v>1000</v>
      </c>
      <c r="N41" s="35" t="s">
        <v>251</v>
      </c>
      <c r="O41" s="36">
        <v>8.8099999999999998E-2</v>
      </c>
      <c r="P41" s="36">
        <f t="shared" si="0"/>
        <v>0.4405</v>
      </c>
      <c r="Q41" s="36">
        <v>6.7299999999999999E-2</v>
      </c>
      <c r="R41" s="36">
        <f t="shared" si="1"/>
        <v>6.7299999999999995</v>
      </c>
      <c r="S41" s="36">
        <v>5.0700000000000002E-2</v>
      </c>
      <c r="T41" s="36">
        <f t="shared" si="2"/>
        <v>50.7</v>
      </c>
      <c r="U41" s="15"/>
      <c r="V41" s="3"/>
      <c r="W41" s="3"/>
    </row>
    <row r="42" spans="1:23" ht="15" thickBot="1" x14ac:dyDescent="0.35">
      <c r="A42" s="16">
        <v>40</v>
      </c>
      <c r="B42" s="113"/>
      <c r="C42" s="71" t="s">
        <v>71</v>
      </c>
      <c r="D42" s="30" t="s">
        <v>7</v>
      </c>
      <c r="E42" s="30" t="s">
        <v>242</v>
      </c>
      <c r="F42" s="30" t="s">
        <v>63</v>
      </c>
      <c r="G42" s="30" t="s">
        <v>243</v>
      </c>
      <c r="H42" s="30" t="s">
        <v>220</v>
      </c>
      <c r="I42" s="30" t="s">
        <v>220</v>
      </c>
      <c r="J42" s="33">
        <v>1</v>
      </c>
      <c r="K42" s="34">
        <f t="shared" si="3"/>
        <v>5</v>
      </c>
      <c r="L42" s="34">
        <f t="shared" si="4"/>
        <v>100</v>
      </c>
      <c r="M42" s="34">
        <f t="shared" si="5"/>
        <v>1000</v>
      </c>
      <c r="N42" s="35" t="s">
        <v>234</v>
      </c>
      <c r="O42" s="36">
        <v>0.51</v>
      </c>
      <c r="P42" s="36">
        <f t="shared" si="0"/>
        <v>2.5499999999999998</v>
      </c>
      <c r="Q42" s="36">
        <v>0.30599999999999999</v>
      </c>
      <c r="R42" s="36">
        <f t="shared" si="1"/>
        <v>30.599999999999998</v>
      </c>
      <c r="S42" s="36">
        <v>0.25900000000000001</v>
      </c>
      <c r="T42" s="36">
        <f t="shared" si="2"/>
        <v>259</v>
      </c>
      <c r="U42" s="25"/>
      <c r="V42" s="3"/>
      <c r="W42" s="3"/>
    </row>
    <row r="43" spans="1:23" ht="15" thickBot="1" x14ac:dyDescent="0.35">
      <c r="A43" s="16">
        <v>41</v>
      </c>
      <c r="B43" s="113"/>
      <c r="C43" s="71" t="s">
        <v>244</v>
      </c>
      <c r="D43" s="30" t="s">
        <v>36</v>
      </c>
      <c r="E43" s="32" t="s">
        <v>245</v>
      </c>
      <c r="F43" s="30" t="s">
        <v>190</v>
      </c>
      <c r="G43" s="30" t="s">
        <v>243</v>
      </c>
      <c r="H43" s="30" t="s">
        <v>220</v>
      </c>
      <c r="I43" s="30" t="s">
        <v>220</v>
      </c>
      <c r="J43" s="33">
        <v>1</v>
      </c>
      <c r="K43" s="34">
        <f t="shared" si="3"/>
        <v>5</v>
      </c>
      <c r="L43" s="34">
        <f t="shared" si="4"/>
        <v>100</v>
      </c>
      <c r="M43" s="34">
        <f t="shared" si="5"/>
        <v>1000</v>
      </c>
      <c r="N43" s="35" t="s">
        <v>279</v>
      </c>
      <c r="O43" s="36">
        <v>1.45</v>
      </c>
      <c r="P43" s="36">
        <f t="shared" si="0"/>
        <v>7.25</v>
      </c>
      <c r="Q43" s="36">
        <v>1.1000000000000001</v>
      </c>
      <c r="R43" s="36">
        <f t="shared" si="1"/>
        <v>110.00000000000001</v>
      </c>
      <c r="S43" s="36">
        <v>0.77</v>
      </c>
      <c r="T43" s="36">
        <f t="shared" si="2"/>
        <v>770</v>
      </c>
      <c r="U43" s="37" t="s">
        <v>280</v>
      </c>
      <c r="V43" s="3"/>
      <c r="W43" s="3"/>
    </row>
    <row r="44" spans="1:23" ht="15" thickBot="1" x14ac:dyDescent="0.35">
      <c r="A44" s="16">
        <v>42</v>
      </c>
      <c r="B44" s="113"/>
      <c r="C44" s="71" t="s">
        <v>248</v>
      </c>
      <c r="D44" s="30" t="s">
        <v>37</v>
      </c>
      <c r="E44" s="32" t="s">
        <v>247</v>
      </c>
      <c r="F44" s="30" t="s">
        <v>191</v>
      </c>
      <c r="G44" s="30" t="s">
        <v>243</v>
      </c>
      <c r="H44" s="30" t="s">
        <v>220</v>
      </c>
      <c r="I44" s="30" t="s">
        <v>220</v>
      </c>
      <c r="J44" s="33">
        <v>1</v>
      </c>
      <c r="K44" s="34">
        <f t="shared" si="3"/>
        <v>5</v>
      </c>
      <c r="L44" s="34">
        <f t="shared" si="4"/>
        <v>100</v>
      </c>
      <c r="M44" s="34">
        <f t="shared" si="5"/>
        <v>1000</v>
      </c>
      <c r="N44" s="35" t="s">
        <v>281</v>
      </c>
      <c r="O44" s="36">
        <v>1.88</v>
      </c>
      <c r="P44" s="36">
        <f t="shared" si="0"/>
        <v>9.3999999999999986</v>
      </c>
      <c r="Q44" s="36">
        <v>1.88</v>
      </c>
      <c r="R44" s="36">
        <f t="shared" si="1"/>
        <v>188</v>
      </c>
      <c r="S44" s="36">
        <v>1.88</v>
      </c>
      <c r="T44" s="36">
        <f t="shared" si="2"/>
        <v>1880</v>
      </c>
      <c r="U44" s="37"/>
      <c r="V44" s="3"/>
      <c r="W44" s="3"/>
    </row>
    <row r="45" spans="1:23" ht="15" thickBot="1" x14ac:dyDescent="0.35">
      <c r="A45" s="16">
        <v>43</v>
      </c>
      <c r="B45" s="114"/>
      <c r="C45" s="40" t="s">
        <v>192</v>
      </c>
      <c r="D45" s="41" t="s">
        <v>193</v>
      </c>
      <c r="E45" s="43" t="s">
        <v>246</v>
      </c>
      <c r="F45" s="41" t="s">
        <v>194</v>
      </c>
      <c r="G45" s="41" t="s">
        <v>261</v>
      </c>
      <c r="H45" s="41" t="s">
        <v>220</v>
      </c>
      <c r="I45" s="41" t="s">
        <v>220</v>
      </c>
      <c r="J45" s="44">
        <v>1</v>
      </c>
      <c r="K45" s="45">
        <f t="shared" si="3"/>
        <v>5</v>
      </c>
      <c r="L45" s="45">
        <f t="shared" si="4"/>
        <v>100</v>
      </c>
      <c r="M45" s="45">
        <f t="shared" si="5"/>
        <v>1000</v>
      </c>
      <c r="N45" s="46" t="s">
        <v>281</v>
      </c>
      <c r="O45" s="47">
        <v>0.22559999999999999</v>
      </c>
      <c r="P45" s="47">
        <f t="shared" si="0"/>
        <v>1.1279999999999999</v>
      </c>
      <c r="Q45" s="47">
        <v>0.22559999999999999</v>
      </c>
      <c r="R45" s="47">
        <f>Q45*L45</f>
        <v>22.56</v>
      </c>
      <c r="S45" s="47">
        <v>0.22559999999999999</v>
      </c>
      <c r="T45" s="47">
        <f t="shared" si="2"/>
        <v>225.6</v>
      </c>
      <c r="U45" s="91"/>
      <c r="V45" s="3"/>
      <c r="W45" s="3"/>
    </row>
    <row r="46" spans="1:23" ht="15" thickBot="1" x14ac:dyDescent="0.35">
      <c r="A46" s="16">
        <v>44</v>
      </c>
      <c r="B46" s="28" t="s">
        <v>249</v>
      </c>
      <c r="C46" s="92" t="s">
        <v>195</v>
      </c>
      <c r="D46" s="86" t="s">
        <v>59</v>
      </c>
      <c r="E46" s="86" t="s">
        <v>108</v>
      </c>
      <c r="F46" s="86" t="s">
        <v>196</v>
      </c>
      <c r="G46" s="86" t="s">
        <v>262</v>
      </c>
      <c r="H46" s="93" t="s">
        <v>263</v>
      </c>
      <c r="I46" s="93" t="s">
        <v>264</v>
      </c>
      <c r="J46" s="94">
        <v>1</v>
      </c>
      <c r="K46" s="95">
        <f t="shared" si="3"/>
        <v>5</v>
      </c>
      <c r="L46" s="95">
        <f t="shared" si="4"/>
        <v>100</v>
      </c>
      <c r="M46" s="95">
        <f t="shared" si="5"/>
        <v>1000</v>
      </c>
      <c r="N46" s="96" t="s">
        <v>251</v>
      </c>
      <c r="O46" s="97">
        <v>0.28570000000000001</v>
      </c>
      <c r="P46" s="97">
        <f t="shared" si="0"/>
        <v>1.4285000000000001</v>
      </c>
      <c r="Q46" s="97">
        <v>0.1459</v>
      </c>
      <c r="R46" s="97">
        <f t="shared" si="1"/>
        <v>14.59</v>
      </c>
      <c r="S46" s="97">
        <v>0.13980000000000001</v>
      </c>
      <c r="T46" s="97">
        <f t="shared" si="2"/>
        <v>139.80000000000001</v>
      </c>
      <c r="U46" s="98"/>
      <c r="V46" s="3"/>
      <c r="W46" s="3"/>
    </row>
    <row r="47" spans="1:23" ht="15" thickBot="1" x14ac:dyDescent="0.35">
      <c r="A47" s="16">
        <v>45</v>
      </c>
      <c r="B47" s="112" t="s">
        <v>76</v>
      </c>
      <c r="C47" s="63" t="s">
        <v>197</v>
      </c>
      <c r="D47" s="64" t="s">
        <v>5</v>
      </c>
      <c r="E47" s="64" t="s">
        <v>108</v>
      </c>
      <c r="F47" s="64" t="s">
        <v>198</v>
      </c>
      <c r="G47" s="65" t="s">
        <v>259</v>
      </c>
      <c r="H47" s="65" t="s">
        <v>269</v>
      </c>
      <c r="I47" s="65" t="s">
        <v>270</v>
      </c>
      <c r="J47" s="66">
        <v>1</v>
      </c>
      <c r="K47" s="67">
        <f t="shared" si="3"/>
        <v>5</v>
      </c>
      <c r="L47" s="67">
        <f t="shared" si="4"/>
        <v>100</v>
      </c>
      <c r="M47" s="67">
        <f t="shared" si="5"/>
        <v>1000</v>
      </c>
      <c r="N47" s="99" t="s">
        <v>251</v>
      </c>
      <c r="O47" s="100">
        <v>0.74480000000000002</v>
      </c>
      <c r="P47" s="69">
        <f t="shared" si="0"/>
        <v>3.7240000000000002</v>
      </c>
      <c r="Q47" s="100">
        <v>0.41560000000000002</v>
      </c>
      <c r="R47" s="69">
        <f t="shared" si="1"/>
        <v>41.56</v>
      </c>
      <c r="S47" s="69">
        <v>0.39279999999999998</v>
      </c>
      <c r="T47" s="69">
        <f t="shared" si="2"/>
        <v>392.79999999999995</v>
      </c>
      <c r="U47" s="90" t="s">
        <v>282</v>
      </c>
      <c r="V47" s="3"/>
      <c r="W47" s="3"/>
    </row>
    <row r="48" spans="1:23" ht="15" thickBot="1" x14ac:dyDescent="0.35">
      <c r="A48" s="16">
        <v>46</v>
      </c>
      <c r="B48" s="113"/>
      <c r="C48" s="29" t="s">
        <v>199</v>
      </c>
      <c r="D48" s="30" t="s">
        <v>200</v>
      </c>
      <c r="E48" s="30" t="s">
        <v>108</v>
      </c>
      <c r="F48" s="30" t="s">
        <v>201</v>
      </c>
      <c r="G48" s="31" t="s">
        <v>265</v>
      </c>
      <c r="H48" s="30" t="s">
        <v>220</v>
      </c>
      <c r="I48" s="30" t="s">
        <v>220</v>
      </c>
      <c r="J48" s="101">
        <v>2</v>
      </c>
      <c r="K48" s="34">
        <f t="shared" si="3"/>
        <v>10</v>
      </c>
      <c r="L48" s="34">
        <f t="shared" si="4"/>
        <v>200</v>
      </c>
      <c r="M48" s="34">
        <f t="shared" si="5"/>
        <v>2000</v>
      </c>
      <c r="N48" s="102" t="s">
        <v>251</v>
      </c>
      <c r="O48" s="36">
        <v>4.4699999999999997E-2</v>
      </c>
      <c r="P48" s="36">
        <f t="shared" si="0"/>
        <v>0.44699999999999995</v>
      </c>
      <c r="Q48" s="36">
        <v>3.39E-2</v>
      </c>
      <c r="R48" s="36">
        <f t="shared" si="1"/>
        <v>6.78</v>
      </c>
      <c r="S48" s="36">
        <v>2.4E-2</v>
      </c>
      <c r="T48" s="36">
        <f t="shared" si="2"/>
        <v>48</v>
      </c>
      <c r="U48" s="25"/>
      <c r="V48" s="3"/>
      <c r="W48" s="3"/>
    </row>
    <row r="49" spans="1:23" ht="15" thickBot="1" x14ac:dyDescent="0.35">
      <c r="A49" s="16">
        <v>47</v>
      </c>
      <c r="B49" s="113"/>
      <c r="C49" s="29" t="s">
        <v>202</v>
      </c>
      <c r="D49" s="30" t="s">
        <v>203</v>
      </c>
      <c r="E49" s="30" t="s">
        <v>108</v>
      </c>
      <c r="F49" s="30" t="s">
        <v>204</v>
      </c>
      <c r="G49" s="31" t="s">
        <v>259</v>
      </c>
      <c r="H49" s="30" t="s">
        <v>220</v>
      </c>
      <c r="I49" s="30" t="s">
        <v>220</v>
      </c>
      <c r="J49" s="103">
        <v>1</v>
      </c>
      <c r="K49" s="34">
        <f t="shared" si="3"/>
        <v>5</v>
      </c>
      <c r="L49" s="34">
        <f t="shared" si="4"/>
        <v>100</v>
      </c>
      <c r="M49" s="34">
        <f t="shared" si="5"/>
        <v>1000</v>
      </c>
      <c r="N49" s="102" t="s">
        <v>251</v>
      </c>
      <c r="O49" s="36">
        <v>0.11650000000000001</v>
      </c>
      <c r="P49" s="36">
        <f t="shared" si="0"/>
        <v>0.58250000000000002</v>
      </c>
      <c r="Q49" s="36">
        <v>8.4099999999999994E-2</v>
      </c>
      <c r="R49" s="36">
        <f t="shared" si="1"/>
        <v>8.41</v>
      </c>
      <c r="S49" s="36">
        <v>3.61E-2</v>
      </c>
      <c r="T49" s="36">
        <f t="shared" si="2"/>
        <v>36.1</v>
      </c>
      <c r="U49" s="104"/>
      <c r="V49" s="3"/>
      <c r="W49" s="3"/>
    </row>
    <row r="50" spans="1:23" ht="15" thickBot="1" x14ac:dyDescent="0.35">
      <c r="A50" s="16">
        <v>48</v>
      </c>
      <c r="B50" s="113"/>
      <c r="C50" s="29" t="s">
        <v>205</v>
      </c>
      <c r="D50" s="30" t="s">
        <v>206</v>
      </c>
      <c r="E50" s="30" t="s">
        <v>207</v>
      </c>
      <c r="F50" s="30" t="s">
        <v>208</v>
      </c>
      <c r="G50" s="31" t="s">
        <v>72</v>
      </c>
      <c r="H50" s="30" t="s">
        <v>220</v>
      </c>
      <c r="I50" s="30" t="s">
        <v>220</v>
      </c>
      <c r="J50" s="103">
        <v>1</v>
      </c>
      <c r="K50" s="34">
        <v>100</v>
      </c>
      <c r="L50" s="34">
        <f t="shared" si="4"/>
        <v>100</v>
      </c>
      <c r="M50" s="34">
        <v>200</v>
      </c>
      <c r="N50" s="102" t="s">
        <v>274</v>
      </c>
      <c r="O50" s="36">
        <v>7.6999999999999999E-2</v>
      </c>
      <c r="P50" s="36">
        <f t="shared" si="0"/>
        <v>7.7</v>
      </c>
      <c r="Q50" s="36">
        <v>7.6999999999999999E-2</v>
      </c>
      <c r="R50" s="36">
        <f t="shared" si="1"/>
        <v>7.7</v>
      </c>
      <c r="S50" s="36">
        <v>7.6999999999999999E-2</v>
      </c>
      <c r="T50" s="36">
        <f t="shared" si="2"/>
        <v>15.4</v>
      </c>
      <c r="U50" s="37" t="s">
        <v>275</v>
      </c>
      <c r="V50" s="3"/>
      <c r="W50" s="3"/>
    </row>
    <row r="51" spans="1:23" ht="15" thickBot="1" x14ac:dyDescent="0.35">
      <c r="A51" s="110">
        <v>49</v>
      </c>
      <c r="B51" s="114"/>
      <c r="C51" s="40" t="s">
        <v>209</v>
      </c>
      <c r="D51" s="41" t="s">
        <v>210</v>
      </c>
      <c r="E51" s="41" t="s">
        <v>211</v>
      </c>
      <c r="F51" s="41" t="s">
        <v>212</v>
      </c>
      <c r="G51" s="42" t="s">
        <v>250</v>
      </c>
      <c r="H51" s="41" t="s">
        <v>220</v>
      </c>
      <c r="I51" s="41" t="s">
        <v>220</v>
      </c>
      <c r="J51" s="105">
        <v>1</v>
      </c>
      <c r="K51" s="45">
        <v>10</v>
      </c>
      <c r="L51" s="45">
        <v>120</v>
      </c>
      <c r="M51" s="45">
        <v>1050</v>
      </c>
      <c r="N51" s="106" t="s">
        <v>251</v>
      </c>
      <c r="O51" s="47">
        <v>0.1085</v>
      </c>
      <c r="P51" s="107">
        <f t="shared" si="0"/>
        <v>1.085</v>
      </c>
      <c r="Q51" s="47">
        <v>8.0799999999999997E-2</v>
      </c>
      <c r="R51" s="47">
        <f t="shared" si="1"/>
        <v>9.6959999999999997</v>
      </c>
      <c r="S51" s="47">
        <v>6.2199999999999998E-2</v>
      </c>
      <c r="T51" s="47">
        <f t="shared" si="2"/>
        <v>65.31</v>
      </c>
      <c r="U51" s="26"/>
      <c r="V51" s="3"/>
      <c r="W51" s="3"/>
    </row>
    <row r="52" spans="1:23" ht="19.5" customHeight="1" thickBot="1" x14ac:dyDescent="0.4">
      <c r="K52" s="115" t="s">
        <v>18</v>
      </c>
      <c r="L52" s="115"/>
      <c r="M52" s="115"/>
      <c r="N52" s="115"/>
      <c r="P52" s="17">
        <f>SUM(P3:P51)</f>
        <v>108.96189999999999</v>
      </c>
      <c r="Q52" s="7"/>
      <c r="R52" s="17">
        <f>SUM(R3:R51)</f>
        <v>972.10110000000009</v>
      </c>
      <c r="S52" s="8"/>
      <c r="T52" s="17">
        <f>SUM(T3:T51)</f>
        <v>7760.3860000000004</v>
      </c>
      <c r="V52" s="3"/>
      <c r="W52" s="3"/>
    </row>
    <row r="53" spans="1:23" ht="18.75" customHeight="1" x14ac:dyDescent="0.3">
      <c r="K53" s="116" t="s">
        <v>19</v>
      </c>
      <c r="L53" s="116"/>
      <c r="M53" s="116"/>
      <c r="N53" s="116"/>
      <c r="P53" s="27">
        <f>P52/5</f>
        <v>21.792379999999998</v>
      </c>
      <c r="Q53" s="8"/>
      <c r="R53" s="9">
        <f>R52/100</f>
        <v>9.7210110000000007</v>
      </c>
      <c r="S53" s="9"/>
      <c r="T53" s="9">
        <f>T52/1000</f>
        <v>7.7603860000000005</v>
      </c>
      <c r="V53" s="3"/>
      <c r="W53" s="3"/>
    </row>
    <row r="54" spans="1:23" x14ac:dyDescent="0.3">
      <c r="V54" s="3"/>
      <c r="W54" s="3"/>
    </row>
    <row r="55" spans="1:23" x14ac:dyDescent="0.3">
      <c r="V55" s="3"/>
      <c r="W55" s="3"/>
    </row>
    <row r="56" spans="1:23" x14ac:dyDescent="0.3">
      <c r="V56" s="3"/>
      <c r="W56" s="3"/>
    </row>
    <row r="57" spans="1:23" ht="15.75" customHeight="1" x14ac:dyDescent="0.3">
      <c r="V57" s="3"/>
      <c r="W57" s="3"/>
    </row>
    <row r="58" spans="1:23" ht="15.75" customHeight="1" x14ac:dyDescent="0.3">
      <c r="V58" s="3"/>
      <c r="W58" s="3"/>
    </row>
    <row r="59" spans="1:23" ht="15.75" customHeight="1" x14ac:dyDescent="0.3">
      <c r="V59" s="3"/>
      <c r="W59" s="3"/>
    </row>
    <row r="60" spans="1:23" x14ac:dyDescent="0.3">
      <c r="V60" s="3"/>
      <c r="W60" s="3"/>
    </row>
    <row r="61" spans="1:23" x14ac:dyDescent="0.3">
      <c r="V61" s="3"/>
      <c r="W61" s="3"/>
    </row>
  </sheetData>
  <mergeCells count="12">
    <mergeCell ref="A1:U1"/>
    <mergeCell ref="B11:B13"/>
    <mergeCell ref="B3:B10"/>
    <mergeCell ref="B14:B16"/>
    <mergeCell ref="B17:B18"/>
    <mergeCell ref="B47:B51"/>
    <mergeCell ref="K52:N52"/>
    <mergeCell ref="K53:N53"/>
    <mergeCell ref="B19:B21"/>
    <mergeCell ref="B22:B34"/>
    <mergeCell ref="B35:B36"/>
    <mergeCell ref="B37:B45"/>
  </mergeCells>
  <conditionalFormatting sqref="U41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{D8672D6E-0B10-42FC-9A68-6BA20FE23C54}</x14:id>
        </ext>
      </extLst>
    </cfRule>
  </conditionalFormatting>
  <conditionalFormatting sqref="U19:U20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U14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Q19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{8BED16CA-F455-45C6-B85E-466776D1B4F7}</x14:id>
        </ext>
      </extLst>
    </cfRule>
  </conditionalFormatting>
  <conditionalFormatting sqref="Q53:T53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{00F4DBD2-6698-4ADA-B9BF-608AE474FCE0}</x14:id>
        </ext>
      </extLst>
    </cfRule>
  </conditionalFormatting>
  <conditionalFormatting sqref="J3:M51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4 P53 P16:P51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J3:M51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3 S4 S6:S51 R4:R51 T4:T51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{2F6B6F4F-BC31-4B63-B3A8-F7820745DC3B}</x14:id>
        </ext>
      </extLst>
    </cfRule>
  </conditionalFormatting>
  <conditionalFormatting sqref="U2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{890885FA-B238-4487-B6A9-BB4B526A1664}</x14:id>
        </ext>
      </extLst>
    </cfRule>
  </conditionalFormatting>
  <conditionalFormatting sqref="U1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{6BA483C9-653D-485E-AAC2-6158984F8467}</x14:id>
        </ext>
      </extLst>
    </cfRule>
  </conditionalFormatting>
  <hyperlinks>
    <hyperlink ref="N40" r:id="rId1" xr:uid="{00000000-0004-0000-0000-000000000000}"/>
    <hyperlink ref="N42" r:id="rId2" xr:uid="{00000000-0004-0000-0000-000001000000}"/>
    <hyperlink ref="N5" r:id="rId3" xr:uid="{00000000-0004-0000-0000-000002000000}"/>
    <hyperlink ref="N11" r:id="rId4" xr:uid="{00000000-0004-0000-0000-000003000000}"/>
    <hyperlink ref="N12" r:id="rId5" xr:uid="{00000000-0004-0000-0000-000004000000}"/>
    <hyperlink ref="N14" r:id="rId6" xr:uid="{00000000-0004-0000-0000-000005000000}"/>
    <hyperlink ref="N17" r:id="rId7" xr:uid="{00000000-0004-0000-0000-000006000000}"/>
    <hyperlink ref="N20" r:id="rId8" xr:uid="{00000000-0004-0000-0000-000007000000}"/>
    <hyperlink ref="N21" r:id="rId9" xr:uid="{00000000-0004-0000-0000-000008000000}"/>
    <hyperlink ref="N25" r:id="rId10" xr:uid="{00000000-0004-0000-0000-000009000000}"/>
    <hyperlink ref="N27" r:id="rId11" xr:uid="{00000000-0004-0000-0000-00000A000000}"/>
    <hyperlink ref="N35" r:id="rId12" xr:uid="{00000000-0004-0000-0000-00000B000000}"/>
    <hyperlink ref="N38" r:id="rId13" xr:uid="{00000000-0004-0000-0000-00000C000000}"/>
    <hyperlink ref="N46" r:id="rId14" xr:uid="{00000000-0004-0000-0000-00000D000000}"/>
    <hyperlink ref="N48" r:id="rId15" xr:uid="{00000000-0004-0000-0000-00000E000000}"/>
    <hyperlink ref="N49" r:id="rId16" xr:uid="{00000000-0004-0000-0000-00000F000000}"/>
    <hyperlink ref="N18" r:id="rId17" xr:uid="{00000000-0004-0000-0000-000010000000}"/>
    <hyperlink ref="N37" r:id="rId18" xr:uid="{00000000-0004-0000-0000-000011000000}"/>
    <hyperlink ref="N43" r:id="rId19" xr:uid="{00000000-0004-0000-0000-000012000000}"/>
    <hyperlink ref="N44" r:id="rId20" xr:uid="{00000000-0004-0000-0000-000013000000}"/>
    <hyperlink ref="N45" r:id="rId21" xr:uid="{00000000-0004-0000-0000-000014000000}"/>
    <hyperlink ref="N47" r:id="rId22" xr:uid="{00000000-0004-0000-0000-000015000000}"/>
    <hyperlink ref="N9" r:id="rId23" xr:uid="{00000000-0004-0000-0000-000016000000}"/>
    <hyperlink ref="N3" r:id="rId24" xr:uid="{00000000-0004-0000-0000-000017000000}"/>
    <hyperlink ref="N6" r:id="rId25" xr:uid="{00000000-0004-0000-0000-000018000000}"/>
    <hyperlink ref="N7" r:id="rId26" xr:uid="{00000000-0004-0000-0000-000019000000}"/>
    <hyperlink ref="N13" r:id="rId27" xr:uid="{00000000-0004-0000-0000-00001A000000}"/>
    <hyperlink ref="N16" r:id="rId28" xr:uid="{00000000-0004-0000-0000-00001B000000}"/>
    <hyperlink ref="N19" r:id="rId29" xr:uid="{00000000-0004-0000-0000-00001C000000}"/>
    <hyperlink ref="N22" r:id="rId30" xr:uid="{00000000-0004-0000-0000-00001D000000}"/>
    <hyperlink ref="N23" r:id="rId31" xr:uid="{00000000-0004-0000-0000-00001E000000}"/>
    <hyperlink ref="N26" r:id="rId32" xr:uid="{00000000-0004-0000-0000-00001F000000}"/>
    <hyperlink ref="N28" r:id="rId33" xr:uid="{00000000-0004-0000-0000-000020000000}"/>
    <hyperlink ref="N29" r:id="rId34" xr:uid="{00000000-0004-0000-0000-000021000000}"/>
    <hyperlink ref="N30" r:id="rId35" xr:uid="{00000000-0004-0000-0000-000022000000}"/>
    <hyperlink ref="N31" r:id="rId36" xr:uid="{00000000-0004-0000-0000-000023000000}"/>
    <hyperlink ref="N32" r:id="rId37" xr:uid="{00000000-0004-0000-0000-000024000000}"/>
    <hyperlink ref="N33" r:id="rId38" xr:uid="{00000000-0004-0000-0000-000025000000}"/>
    <hyperlink ref="N34" r:id="rId39" xr:uid="{00000000-0004-0000-0000-000026000000}"/>
    <hyperlink ref="N36" r:id="rId40" xr:uid="{00000000-0004-0000-0000-000027000000}"/>
    <hyperlink ref="N24" r:id="rId41" xr:uid="{00000000-0004-0000-0000-000028000000}"/>
    <hyperlink ref="N41" r:id="rId42" xr:uid="{00000000-0004-0000-0000-000029000000}"/>
    <hyperlink ref="N8" r:id="rId43" xr:uid="{00000000-0004-0000-0000-00002A000000}"/>
    <hyperlink ref="N10" r:id="rId44" xr:uid="{00000000-0004-0000-0000-00002B000000}"/>
    <hyperlink ref="N15" r:id="rId45" xr:uid="{00000000-0004-0000-0000-00002C000000}"/>
    <hyperlink ref="N39" r:id="rId46" xr:uid="{00000000-0004-0000-0000-00002D000000}"/>
    <hyperlink ref="N51" r:id="rId47" xr:uid="{00000000-0004-0000-0000-00002E000000}"/>
    <hyperlink ref="N50" r:id="rId48" xr:uid="{00000000-0004-0000-0000-00002F000000}"/>
    <hyperlink ref="N4" r:id="rId49" xr:uid="{00000000-0004-0000-0000-000030000000}"/>
  </hyperlinks>
  <pageMargins left="0.7" right="0.7" top="0.75" bottom="0.75" header="0.3" footer="0.3"/>
  <pageSetup orientation="portrait" r:id="rId5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672D6E-0B10-42FC-9A68-6BA20FE23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U41</xm:sqref>
        </x14:conditionalFormatting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U19:U20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U14</xm:sqref>
        </x14:conditionalFormatting>
        <x14:conditionalFormatting xmlns:xm="http://schemas.microsoft.com/office/excel/2006/main">
          <x14:cfRule type="dataBar" id="{8BED16CA-F455-45C6-B85E-466776D1B4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0F4DBD2-6698-4ADA-B9BF-608AE474FC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Q53:T53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P3:P14 P53 P16:P51</xm:sqref>
        </x14:conditionalFormatting>
        <x14:conditionalFormatting xmlns:xm="http://schemas.microsoft.com/office/excel/2006/main">
          <x14:cfRule type="dataBar" id="{2F6B6F4F-BC31-4B63-B3A8-F7820745DC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R3:T3 S4 S6:S51 R4:R51 T4:T51</xm:sqref>
        </x14:conditionalFormatting>
        <x14:conditionalFormatting xmlns:xm="http://schemas.microsoft.com/office/excel/2006/main">
          <x14:cfRule type="dataBar" id="{890885FA-B238-4487-B6A9-BB4B526A16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U21</xm:sqref>
        </x14:conditionalFormatting>
        <x14:conditionalFormatting xmlns:xm="http://schemas.microsoft.com/office/excel/2006/main">
          <x14:cfRule type="dataBar" id="{6BA483C9-653D-485E-AAC2-6158984F8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Faizan Ur Rahman</cp:lastModifiedBy>
  <dcterms:created xsi:type="dcterms:W3CDTF">2021-05-17T11:34:06Z</dcterms:created>
  <dcterms:modified xsi:type="dcterms:W3CDTF">2021-11-21T20:00:14Z</dcterms:modified>
</cp:coreProperties>
</file>